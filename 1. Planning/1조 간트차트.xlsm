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mc:AlternateContent xmlns:mc="http://schemas.openxmlformats.org/markup-compatibility/2006">
    <mc:Choice Requires="x15">
      <x15ac:absPath xmlns:x15ac="http://schemas.microsoft.com/office/spreadsheetml/2010/11/ac" url="C:\Users\rhsnf\Documents\GitHub\KNUSD-20202-Team1\Planning\"/>
    </mc:Choice>
  </mc:AlternateContent>
  <xr:revisionPtr revIDLastSave="0" documentId="13_ncr:1_{945FEEC4-B674-4832-8E61-CB7A9A69435E}" xr6:coauthVersionLast="45" xr6:coauthVersionMax="45" xr10:uidLastSave="{00000000-0000-0000-0000-000000000000}"/>
  <bookViews>
    <workbookView xWindow="-108" yWindow="-108" windowWidth="23256" windowHeight="12576" tabRatio="453" firstSheet="1" activeTab="2" xr2:uid="{00000000-000D-0000-FFFF-FFFF00000000}"/>
  </bookViews>
  <sheets>
    <sheet name="Settings" sheetId="6" state="veryHidden" r:id="rId1"/>
    <sheet name="Help" sheetId="9" r:id="rId2"/>
    <sheet name="Schedule" sheetId="2" r:id="rId3"/>
    <sheet name="Progress" sheetId="3" r:id="rId4"/>
    <sheet name="Sheet1" sheetId="19" r:id="rId5"/>
    <sheet name="AnalysisReport" sheetId="4" r:id="rId6"/>
    <sheet name="Calendar" sheetId="5" r:id="rId7"/>
    <sheet name="TranslatedLanguages" sheetId="7" state="hidden" r:id="rId8"/>
    <sheet name="Workload" sheetId="8" r:id="rId9"/>
    <sheet name="ServerData" sheetId="18" r:id="rId10"/>
  </sheets>
  <functionGroups builtInGroupCount="19"/>
  <externalReferences>
    <externalReference r:id="rId11"/>
  </externalReferences>
  <definedNames>
    <definedName name="_xlnm._FilterDatabase" localSheetId="2" hidden="1">Schedule!$P$3:$AB$4</definedName>
    <definedName name="ACTUAL_RATE" localSheetId="8">[1]Progress!$B$21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8"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8">[1]Progress!$B$18</definedName>
    <definedName name="PLANNED_RATE">Progress!$B$18</definedName>
    <definedName name="PLANNED_WORKLOAD">Progress!$B$9</definedName>
    <definedName name="_xlnm.Print_Area" localSheetId="2">Schedule!$D$1:$EE$55</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 localSheetId="8">[1]Calendar!$B$5:$B$304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B5" i="2" l="1"/>
  <c r="AT6" i="2"/>
  <c r="AO7" i="2"/>
  <c r="AS8" i="2"/>
  <c r="AT9" i="2"/>
  <c r="BI10" i="2"/>
  <c r="BI11" i="2"/>
  <c r="BI12" i="2"/>
  <c r="BE13" i="2"/>
  <c r="BA14" i="2"/>
  <c r="BB15" i="2"/>
  <c r="BE16" i="2"/>
  <c r="CB17" i="2"/>
  <c r="BW18" i="2"/>
  <c r="BF19" i="2"/>
  <c r="BF20" i="2"/>
  <c r="BW21" i="2"/>
  <c r="BT22" i="2"/>
  <c r="BT23" i="2"/>
  <c r="CB24" i="2"/>
  <c r="CB25" i="2"/>
  <c r="CB26" i="2"/>
  <c r="DU27" i="2"/>
  <c r="CK28" i="2"/>
  <c r="CH29" i="2"/>
  <c r="CH30" i="2"/>
  <c r="CH31" i="2"/>
  <c r="CH32" i="2"/>
  <c r="CK33" i="2"/>
  <c r="CP34" i="2"/>
  <c r="CZ34" i="2"/>
  <c r="CL35" i="2"/>
  <c r="CL36" i="2"/>
  <c r="CL37" i="2"/>
  <c r="CL38" i="2"/>
  <c r="CL39" i="2"/>
  <c r="CZ39" i="2"/>
  <c r="CZ40" i="2"/>
  <c r="DL40" i="2"/>
  <c r="CZ41" i="2"/>
  <c r="CZ42" i="2"/>
  <c r="CZ43" i="2"/>
  <c r="CZ44" i="2"/>
  <c r="CZ45" i="2"/>
  <c r="DL45" i="2"/>
  <c r="CZ46" i="2"/>
  <c r="DL46" i="2"/>
  <c r="CZ47" i="2"/>
  <c r="DL47" i="2"/>
  <c r="CZ48" i="2"/>
  <c r="DL48" i="2"/>
  <c r="CZ49" i="2"/>
  <c r="DL49" i="2"/>
  <c r="DK50" i="2"/>
  <c r="DK51" i="2"/>
  <c r="DK52" i="2"/>
  <c r="DT53" i="2"/>
  <c r="DT54" i="2"/>
  <c r="DT55" i="2"/>
  <c r="J29" i="4" l="1"/>
  <c r="G29" i="4"/>
  <c r="D29" i="4"/>
  <c r="K7" i="4"/>
  <c r="K8" i="4" s="1"/>
  <c r="K9" i="4" s="1"/>
  <c r="H7" i="4"/>
  <c r="I7" i="4" s="1"/>
  <c r="E7" i="4"/>
  <c r="E8" i="4" s="1"/>
  <c r="H8" i="4" l="1"/>
  <c r="I8" i="4" s="1"/>
  <c r="L7" i="4"/>
  <c r="E9" i="4"/>
  <c r="F8" i="4"/>
  <c r="K10" i="4"/>
  <c r="L10" i="4" s="1"/>
  <c r="L9" i="4"/>
  <c r="L8" i="4"/>
  <c r="F7" i="4"/>
  <c r="H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D1" i="2" a="1"/>
  <c r="AE2" i="2" a="1"/>
  <c r="AE1" i="2" a="1"/>
  <c r="E10" i="4" l="1"/>
  <c r="F9" i="4"/>
  <c r="H10" i="4"/>
  <c r="I10" i="4" s="1"/>
  <c r="I9" i="4"/>
  <c r="D1" i="2"/>
  <c r="AE2" i="2"/>
  <c r="AE1" i="2"/>
  <c r="F10" i="4" l="1"/>
  <c r="E11" i="4"/>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10" i="7"/>
  <c r="F529" i="7"/>
  <c r="F11" i="7"/>
  <c r="F530" i="7"/>
  <c r="F12" i="7"/>
  <c r="F531" i="7"/>
  <c r="F13" i="7"/>
  <c r="F9" i="7"/>
  <c r="F11" i="4" l="1"/>
  <c r="E12" i="4"/>
  <c r="B24" i="3"/>
  <c r="F12" i="4" l="1"/>
  <c r="E13" i="4"/>
  <c r="F13" i="4" l="1"/>
  <c r="E14" i="4"/>
  <c r="E15" i="4" l="1"/>
  <c r="F14" i="4"/>
  <c r="E16" i="4" l="1"/>
  <c r="F15" i="4"/>
  <c r="E17" i="4" l="1"/>
  <c r="F16" i="4"/>
  <c r="E18" i="4" l="1"/>
  <c r="F17" i="4"/>
  <c r="F18" i="4" l="1"/>
  <c r="E19" i="4"/>
  <c r="F19" i="4" l="1"/>
  <c r="E20" i="4"/>
  <c r="F20" i="4" l="1"/>
  <c r="E21" i="4"/>
  <c r="F21" i="4" l="1"/>
  <c r="E22" i="4"/>
  <c r="E23" i="4" l="1"/>
  <c r="F22" i="4"/>
  <c r="E24" i="4" l="1"/>
  <c r="F23" i="4"/>
  <c r="E25" i="4" l="1"/>
  <c r="F24" i="4"/>
  <c r="E26" i="4" l="1"/>
  <c r="F25" i="4"/>
  <c r="F26" i="4" l="1"/>
  <c r="E27" i="4"/>
  <c r="F27" i="4" l="1"/>
  <c r="E28" i="4"/>
  <c r="F28"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<sst xmlns="http://schemas.openxmlformats.org/spreadsheetml/2006/main" count="2650" uniqueCount="1675">
  <si>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</si>
  <si>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</si>
  <si>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</si>
  <si>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</si>
  <si>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</si>
  <si>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</si>
  <si>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</si>
  <si>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</si>
  <si>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</si>
  <si>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</si>
  <si>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</si>
  <si>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</si>
  <si>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</si>
  <si>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</si>
  <si>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</si>
  <si>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</si>
  <si>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http://xlworks.net</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</si>
  <si>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</si>
  <si>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</si>
  <si>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</si>
  <si>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</si>
  <si>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</si>
  <si>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</si>
  <si>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</si>
  <si>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</si>
  <si>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</si>
  <si>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</si>
  <si>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</si>
  <si>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</si>
  <si>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</si>
  <si>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</si>
  <si>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</si>
  <si>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</si>
  <si>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</si>
  <si>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</si>
  <si>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</si>
  <si>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</si>
  <si>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</si>
  <si>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</si>
  <si>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</si>
  <si>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</si>
  <si>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</si>
  <si>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</si>
  <si>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</si>
  <si>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</si>
  <si>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</si>
  <si>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</si>
  <si>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</si>
  <si>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</si>
  <si>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</si>
  <si>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</si>
  <si>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</si>
  <si>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</si>
  <si>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</si>
  <si>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</si>
  <si>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</si>
  <si>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</si>
  <si>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</si>
  <si>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</si>
  <si>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</si>
  <si>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</si>
  <si>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</si>
  <si>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</si>
  <si>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</si>
  <si>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</si>
  <si>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</si>
  <si>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</si>
  <si>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</si>
  <si>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</si>
  <si>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</si>
  <si>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</si>
  <si>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</si>
  <si>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</si>
  <si>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</si>
  <si>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</si>
  <si>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</si>
  <si>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</si>
  <si>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</si>
  <si>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</si>
  <si>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</si>
  <si>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</si>
  <si>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</si>
  <si>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</si>
  <si>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</si>
  <si>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</si>
  <si>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</si>
  <si>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</si>
  <si>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</si>
  <si>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</si>
  <si>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</si>
  <si>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</si>
  <si>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</si>
  <si>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</si>
  <si>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</si>
  <si>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</si>
  <si>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</si>
  <si>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</si>
  <si>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</si>
  <si>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</si>
  <si>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</si>
  <si>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</si>
  <si>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</si>
  <si>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</si>
  <si>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</si>
  <si>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</si>
  <si>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</si>
  <si>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</si>
  <si>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</si>
  <si>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</si>
  <si>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</si>
  <si>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</si>
  <si>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</si>
  <si>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</si>
  <si>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</si>
  <si>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</si>
  <si>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</si>
  <si>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</si>
  <si>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</si>
  <si>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</si>
  <si>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</si>
  <si>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</si>
  <si>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</si>
  <si>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</si>
  <si>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</si>
  <si>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</si>
  <si>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</si>
  <si>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</si>
  <si>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</si>
  <si>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</si>
  <si>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</si>
  <si>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</si>
  <si>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</si>
  <si>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</si>
  <si>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</si>
  <si>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</si>
  <si>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</si>
  <si>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</si>
  <si>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</si>
  <si>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</si>
  <si>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</si>
  <si>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</si>
  <si>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</si>
  <si>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</si>
  <si>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</si>
  <si>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</si>
  <si>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</si>
  <si>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</si>
  <si>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</si>
  <si>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</si>
  <si>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</si>
  <si>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</si>
  <si>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</si>
  <si>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</si>
  <si>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</si>
  <si>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</si>
  <si>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</si>
  <si>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</si>
  <si>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</si>
  <si>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</si>
  <si>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</si>
  <si>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</si>
  <si>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</si>
  <si>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</si>
  <si>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</si>
  <si>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</si>
  <si>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</si>
  <si>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</si>
  <si>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</si>
  <si>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</si>
  <si>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</si>
  <si>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</si>
  <si>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</si>
  <si>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</si>
  <si>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</si>
  <si>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</si>
  <si>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</si>
  <si>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</si>
  <si>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</si>
  <si>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</si>
  <si>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</si>
  <si>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</si>
  <si>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</si>
  <si>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</si>
  <si>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</si>
  <si>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</si>
  <si>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</si>
  <si>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</si>
  <si>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</si>
  <si>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</si>
  <si>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</si>
  <si>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</si>
  <si>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</si>
  <si>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</si>
  <si>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</si>
  <si>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</si>
  <si>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</si>
  <si>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</si>
  <si>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</si>
  <si>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</si>
  <si>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</si>
  <si>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</si>
  <si>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</si>
  <si>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</si>
  <si>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</si>
  <si>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</si>
  <si>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</si>
  <si>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</si>
  <si>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</si>
  <si>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</si>
  <si>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</si>
  <si>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</si>
  <si>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</si>
  <si>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</si>
  <si>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</si>
  <si>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</si>
  <si>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</si>
  <si>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</si>
  <si>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</si>
  <si>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</si>
  <si>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</si>
  <si>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</si>
  <si>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</si>
  <si>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</si>
  <si>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</si>
  <si>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</si>
  <si>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</si>
  <si>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</si>
  <si>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</si>
  <si>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</si>
  <si>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</si>
  <si>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</si>
  <si>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</si>
  <si>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</si>
  <si>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</si>
  <si>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</si>
  <si>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</si>
  <si>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</si>
  <si>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</si>
  <si>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</si>
  <si>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</si>
  <si>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</si>
  <si>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</si>
  <si>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</si>
  <si>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</si>
  <si>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</si>
  <si>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</si>
  <si>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</si>
  <si>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</si>
  <si>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</si>
  <si>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</si>
  <si>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</si>
  <si>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</si>
  <si>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</si>
  <si>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</si>
  <si>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</si>
  <si>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</si>
  <si>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</si>
  <si>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</si>
  <si>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</si>
  <si>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</si>
  <si>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</si>
  <si>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</si>
  <si>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</si>
  <si>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</si>
  <si>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</si>
  <si>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</si>
  <si>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</si>
  <si>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</si>
  <si>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</si>
  <si>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</si>
  <si>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</si>
  <si>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</si>
  <si>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</si>
  <si>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</si>
  <si>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</si>
  <si>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</si>
  <si>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</si>
  <si>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</si>
  <si>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</si>
  <si>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</si>
  <si>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</si>
  <si>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</si>
  <si>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</si>
  <si>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</si>
  <si>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</si>
  <si>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</si>
  <si>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</si>
  <si>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</si>
  <si>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</si>
  <si>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</si>
  <si>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</si>
  <si>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</si>
  <si>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</si>
  <si>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</si>
  <si>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</si>
  <si>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</si>
  <si>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</si>
  <si>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</si>
  <si>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</si>
  <si>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</si>
  <si>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</si>
  <si>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</si>
  <si>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</si>
  <si>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</si>
  <si>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</si>
  <si>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</si>
  <si>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</si>
  <si>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</si>
  <si>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</si>
  <si>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</si>
  <si>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</si>
  <si>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</si>
  <si>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</si>
  <si>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</si>
  <si>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</si>
  <si>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</si>
  <si>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</si>
  <si>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</si>
  <si>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</si>
  <si>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</si>
  <si>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</si>
  <si>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</si>
  <si>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</si>
  <si>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</si>
  <si>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</si>
  <si>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</si>
  <si>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</si>
  <si>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</si>
  <si>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</si>
  <si>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</si>
  <si>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</si>
  <si>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</si>
  <si>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</si>
  <si>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</si>
  <si>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</si>
  <si>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</si>
  <si>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</si>
  <si>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</si>
  <si>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</si>
  <si>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</si>
  <si>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</si>
  <si>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</si>
  <si>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</si>
  <si>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</si>
  <si>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</si>
  <si>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</si>
  <si>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</si>
  <si>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</si>
  <si>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</si>
  <si>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</si>
  <si>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</si>
  <si>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</si>
  <si>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</si>
  <si>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</si>
  <si>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</si>
  <si>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</si>
  <si>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</si>
  <si>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</si>
  <si>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</si>
  <si>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</si>
  <si>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</si>
  <si>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</si>
  <si>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</si>
  <si>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</si>
  <si>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</si>
  <si>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</si>
  <si>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</si>
  <si>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</si>
  <si>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</si>
  <si>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</si>
  <si>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</si>
  <si>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</si>
  <si>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</si>
  <si>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</si>
  <si>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</si>
  <si>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</si>
  <si>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</si>
  <si>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</si>
  <si>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</si>
  <si>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</si>
  <si>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</si>
  <si>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</si>
  <si>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</si>
  <si>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</si>
  <si>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</si>
  <si>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</si>
  <si>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</si>
  <si>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</si>
  <si>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</si>
  <si>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</si>
  <si>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</si>
  <si>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</si>
  <si>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</si>
  <si>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</si>
  <si>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</si>
  <si>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</si>
  <si>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</si>
  <si>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</si>
  <si>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</si>
  <si>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</si>
  <si>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</si>
  <si>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</si>
  <si>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</si>
  <si>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</si>
  <si>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</si>
  <si>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</si>
  <si>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</si>
  <si>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</si>
  <si>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</si>
  <si>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</si>
  <si>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</si>
  <si>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</si>
  <si>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</si>
  <si>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</si>
  <si>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</si>
  <si>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</si>
  <si>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</si>
  <si>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</si>
  <si>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</si>
  <si>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</si>
  <si>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</si>
  <si>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</si>
  <si>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</si>
  <si>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</si>
  <si>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</si>
  <si>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</si>
  <si>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</si>
  <si>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</si>
  <si>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</si>
  <si>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</si>
  <si>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</si>
  <si>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</si>
  <si>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</si>
  <si>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</si>
  <si>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</si>
  <si>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</si>
  <si>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</si>
  <si>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</si>
  <si>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</si>
  <si>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</si>
  <si>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</si>
  <si>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</si>
  <si>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</si>
  <si>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</si>
  <si>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</si>
  <si>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</si>
  <si>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</si>
  <si>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</si>
  <si>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</si>
  <si>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</si>
  <si>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</si>
  <si>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</si>
  <si>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</si>
  <si>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</si>
  <si>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</si>
  <si>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</si>
  <si>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</si>
  <si>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</si>
  <si>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</si>
  <si>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</si>
  <si>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</si>
  <si>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</si>
  <si>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</si>
  <si>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</si>
  <si>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</si>
  <si>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</si>
  <si>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</si>
  <si>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</si>
  <si>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</si>
  <si>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</si>
  <si>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</si>
  <si>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</si>
  <si>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</si>
  <si>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</si>
  <si>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</si>
  <si>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</si>
  <si>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</si>
  <si>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</si>
  <si>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</si>
  <si>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</si>
  <si>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</si>
  <si>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</si>
  <si>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</si>
  <si>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</si>
  <si>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</si>
  <si>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</si>
  <si>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</si>
  <si>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</si>
  <si>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</si>
  <si>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</si>
  <si>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</si>
  <si>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</si>
  <si>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</si>
  <si>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</si>
  <si>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</si>
  <si>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</si>
  <si>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</si>
  <si>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</si>
  <si>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</si>
  <si>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</si>
  <si>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</si>
  <si>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</si>
  <si>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</si>
  <si>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</si>
  <si>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</si>
  <si>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</si>
  <si>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</si>
  <si>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</si>
  <si>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</si>
  <si>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</si>
  <si>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</si>
  <si>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</si>
  <si>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</si>
  <si>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for import columun</t>
    <phoneticPr fontId="4"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</si>
  <si>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</si>
  <si>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</si>
  <si>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</si>
  <si>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</si>
  <si>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</si>
  <si>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for import columun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</si>
  <si>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</si>
  <si>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</si>
  <si>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</si>
  <si>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</si>
  <si>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</si>
  <si>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</si>
  <si>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</si>
  <si>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</si>
  <si>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</si>
  <si>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</si>
  <si>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</si>
  <si>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</si>
  <si>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</si>
  <si>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</si>
  <si>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</si>
  <si>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</si>
  <si>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</si>
  <si>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</si>
  <si>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</si>
  <si>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</si>
  <si>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</si>
  <si>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</si>
  <si>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</si>
  <si>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</si>
  <si>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</si>
  <si>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</si>
  <si>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</si>
  <si>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</si>
  <si>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</si>
  <si>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</si>
  <si>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</si>
  <si>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</si>
  <si>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</si>
  <si>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</si>
  <si>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</si>
  <si>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</si>
  <si>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</si>
  <si>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</si>
  <si>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</si>
  <si>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</si>
  <si>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</si>
  <si>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Calendar</t>
    <phoneticPr fontId="4" type="noConversion"/>
  </si>
  <si>
    <t>doc*</t>
    <phoneticPr fontId="4" type="noConversion"/>
  </si>
  <si>
    <t>xls*</t>
    <phoneticPr fontId="4" type="noConversion"/>
  </si>
  <si>
    <t>txt</t>
    <phoneticPr fontId="4" type="noConversion"/>
  </si>
  <si>
    <t>E</t>
    <phoneticPr fontId="2" type="noConversion"/>
  </si>
  <si>
    <t>1:English,82:Korean</t>
    <phoneticPr fontId="2"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</si>
  <si>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</si>
  <si>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</si>
  <si>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</si>
  <si>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</si>
  <si>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</si>
  <si>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</si>
  <si>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</si>
  <si>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</si>
  <si>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</si>
  <si>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</si>
  <si>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</si>
  <si>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</si>
  <si>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</si>
  <si>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</si>
  <si>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</si>
  <si>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</si>
  <si>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</si>
  <si>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</si>
  <si>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</si>
  <si>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</si>
  <si>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</si>
  <si>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</si>
  <si>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</si>
  <si>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</si>
  <si>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</si>
  <si>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</si>
  <si>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</si>
  <si>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</si>
  <si>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</si>
  <si>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</si>
  <si>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</si>
  <si>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</si>
  <si>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</si>
  <si>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</si>
  <si>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</si>
  <si>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</si>
  <si>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</si>
  <si>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</si>
  <si>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</si>
  <si>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</si>
  <si>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</si>
  <si>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</si>
  <si>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</si>
  <si>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</si>
  <si>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</si>
  <si>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</si>
  <si>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</si>
  <si>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</si>
  <si>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</si>
  <si>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</si>
  <si>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</si>
  <si>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</si>
  <si>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</si>
  <si>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</si>
  <si>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</si>
  <si>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</si>
  <si>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</si>
  <si>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</si>
  <si>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</si>
  <si>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</si>
  <si>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</si>
  <si>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</si>
  <si>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</si>
  <si>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</si>
  <si>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</si>
  <si>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</si>
  <si>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</si>
  <si>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</si>
  <si>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</si>
  <si>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</si>
  <si>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</si>
  <si>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</si>
  <si>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</si>
  <si>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</si>
  <si>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</si>
  <si>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</si>
  <si>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</si>
  <si>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</si>
  <si>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</si>
  <si>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</si>
  <si>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</si>
  <si>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</si>
  <si>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</si>
  <si>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</si>
  <si>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</si>
  <si>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</si>
  <si>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</si>
  <si>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</si>
  <si>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</si>
  <si>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</si>
  <si>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</si>
  <si>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</si>
  <si>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</si>
  <si>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</si>
  <si>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</si>
  <si>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</si>
  <si>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</si>
  <si>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</si>
  <si>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</si>
  <si>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</si>
  <si>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</si>
  <si>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</si>
  <si>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</si>
  <si>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</si>
  <si>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</si>
  <si>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</si>
  <si>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</si>
  <si>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</si>
  <si>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</si>
  <si>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</si>
  <si>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</si>
  <si>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</si>
  <si>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</si>
  <si>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</si>
  <si>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</si>
  <si>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</si>
  <si>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</si>
  <si>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</si>
  <si>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</si>
  <si>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</si>
  <si>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</si>
  <si>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</si>
  <si>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</si>
  <si>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</si>
  <si>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</si>
  <si>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</si>
  <si>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</si>
  <si>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</si>
  <si>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</si>
  <si>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</si>
  <si>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</si>
  <si>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</si>
  <si>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</si>
  <si>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</si>
  <si>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</si>
  <si>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</si>
  <si>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</si>
  <si>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</si>
  <si>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</si>
  <si>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</si>
  <si>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</si>
  <si>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</si>
  <si>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</si>
  <si>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</si>
  <si>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</si>
  <si>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</si>
  <si>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</si>
  <si>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</si>
  <si>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</si>
  <si>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</si>
  <si>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</si>
  <si>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</si>
  <si>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</si>
  <si>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</si>
  <si>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</si>
  <si>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</si>
  <si>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</si>
  <si>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</si>
  <si>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</si>
  <si>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</si>
  <si>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</si>
  <si>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</si>
  <si>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</si>
  <si>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</si>
  <si>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</si>
  <si>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</si>
  <si>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</si>
  <si>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</si>
  <si>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</si>
  <si>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</si>
  <si>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</si>
  <si>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</si>
  <si>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</si>
  <si>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</si>
  <si>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</si>
  <si>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</si>
  <si>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</si>
  <si>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</si>
  <si>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</si>
  <si>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</si>
  <si>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</si>
  <si>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</si>
  <si>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</si>
  <si>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</si>
  <si>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</si>
  <si>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</si>
  <si>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</si>
  <si>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</si>
  <si>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</si>
  <si>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</si>
  <si>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</si>
  <si>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</si>
  <si>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</si>
  <si>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</si>
  <si>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</si>
  <si>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</si>
  <si>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</si>
  <si>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</si>
  <si>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</si>
  <si>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</si>
  <si>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</si>
  <si>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</si>
  <si>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</si>
  <si>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</si>
  <si>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</si>
  <si>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</si>
  <si>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</si>
  <si>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</si>
  <si>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</si>
  <si>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</si>
  <si>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</si>
  <si>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</si>
  <si>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</si>
  <si>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</si>
  <si>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</si>
  <si>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</si>
  <si>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</si>
  <si>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</si>
  <si>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</si>
  <si>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</si>
  <si>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</si>
  <si>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</si>
  <si>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</si>
  <si>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</si>
  <si>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</si>
  <si>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</si>
  <si>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</si>
  <si>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</si>
  <si>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</si>
  <si>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</si>
  <si>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</si>
  <si>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</si>
  <si>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</si>
  <si>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</si>
  <si>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</si>
  <si>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</si>
  <si>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</si>
  <si>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</si>
  <si>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</si>
  <si>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</si>
  <si>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</si>
  <si>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</si>
  <si>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</si>
  <si>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</si>
  <si>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</si>
  <si>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</si>
  <si>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</si>
  <si>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</si>
  <si>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</si>
  <si>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</si>
  <si>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</si>
  <si>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</si>
  <si>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</si>
  <si>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</si>
  <si>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</si>
  <si>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</si>
  <si>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</si>
  <si>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</si>
  <si>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</si>
  <si>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별(*)표시는 필수입력, 주황색열은 자동계산</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</si>
  <si>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</si>
  <si>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</si>
  <si>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</si>
  <si>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</si>
  <si>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</si>
  <si>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</si>
  <si>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</si>
  <si>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</si>
  <si>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</si>
  <si>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</si>
  <si>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</si>
  <si>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</si>
  <si>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</si>
  <si>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</si>
  <si>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</si>
  <si>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</si>
  <si>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</si>
  <si>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</si>
  <si>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</si>
  <si>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</si>
  <si>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</si>
  <si>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</si>
  <si>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</si>
  <si>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</si>
  <si>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</si>
  <si>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</si>
  <si>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</si>
  <si>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</si>
  <si>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</si>
  <si>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</si>
  <si>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</si>
  <si>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</si>
  <si>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</si>
  <si>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</si>
  <si>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</si>
  <si>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</si>
  <si>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</si>
  <si>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</si>
  <si>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</si>
  <si>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</si>
  <si>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</si>
  <si>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</si>
  <si>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</si>
  <si>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</si>
  <si>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</si>
  <si>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</si>
  <si>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</si>
  <si>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</si>
  <si>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</si>
  <si>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</si>
  <si>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</si>
  <si>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</si>
  <si>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</si>
  <si>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</si>
  <si>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</si>
  <si>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</si>
  <si>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</si>
  <si>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</si>
  <si>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</si>
  <si>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</si>
  <si>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</si>
  <si>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</si>
  <si>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</si>
  <si>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</si>
  <si>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</si>
  <si>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</si>
  <si>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</si>
  <si>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</si>
  <si>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</si>
  <si>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</si>
  <si>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</si>
  <si>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</si>
  <si>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</si>
  <si>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</si>
  <si>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</si>
  <si>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</si>
  <si>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</si>
  <si>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</si>
  <si>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</si>
  <si>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</si>
  <si>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</si>
  <si>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</si>
  <si>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</si>
  <si>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</si>
  <si>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</si>
  <si>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</si>
  <si>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</si>
  <si>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</si>
  <si>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</si>
  <si>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</si>
  <si>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</si>
  <si>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</si>
  <si>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</si>
  <si>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</si>
  <si>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</si>
  <si>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</si>
  <si>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</si>
  <si>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</si>
  <si>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</si>
  <si>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</si>
  <si>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</si>
  <si>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</si>
  <si>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</si>
  <si>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</si>
  <si>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</si>
  <si>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</si>
  <si>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</si>
  <si>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</si>
  <si>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</si>
  <si>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</si>
  <si>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</si>
  <si>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</si>
  <si>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</si>
  <si>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</si>
  <si>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</si>
  <si>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</si>
  <si>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</si>
  <si>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</si>
  <si>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</si>
  <si>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</si>
  <si>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</si>
  <si>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</si>
  <si>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</si>
  <si>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</si>
  <si>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</si>
  <si>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</si>
  <si>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</si>
  <si>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</si>
  <si>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</si>
  <si>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</si>
  <si>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</si>
  <si>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</si>
  <si>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</si>
  <si>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</si>
  <si>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</si>
  <si>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</si>
  <si>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</si>
  <si>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</si>
  <si>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</si>
  <si>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</si>
  <si>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</si>
  <si>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</si>
  <si>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</si>
  <si>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</si>
  <si>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</si>
  <si>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</si>
  <si>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</si>
  <si>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</si>
  <si>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</si>
  <si>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</si>
  <si>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</si>
  <si>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</si>
  <si>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</si>
  <si>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</si>
  <si>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</si>
  <si>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</si>
  <si>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</si>
  <si>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</si>
  <si>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</si>
  <si>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</si>
  <si>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</si>
  <si>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</si>
  <si>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</si>
  <si>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</si>
  <si>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</si>
  <si>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</si>
  <si>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</si>
  <si>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</si>
  <si>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</si>
  <si>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</si>
  <si>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</si>
  <si>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</si>
  <si>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</si>
  <si>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</si>
  <si>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</si>
  <si>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</si>
  <si>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</si>
  <si>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</si>
  <si>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</si>
  <si>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</si>
  <si>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</si>
  <si>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</si>
  <si>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</si>
  <si>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</si>
  <si>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</si>
  <si>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</si>
  <si>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</si>
  <si>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</si>
  <si>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</si>
  <si>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</si>
  <si>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</si>
  <si>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</si>
  <si>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</si>
  <si>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</si>
  <si>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</si>
  <si>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</si>
  <si>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</si>
  <si>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</si>
  <si>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</si>
  <si>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</si>
  <si>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</si>
  <si>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</si>
  <si>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</si>
  <si>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</si>
  <si>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</si>
  <si>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</si>
  <si>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</si>
  <si>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</si>
  <si>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</si>
  <si>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</si>
  <si>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</si>
  <si>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</si>
  <si>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</si>
  <si>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</si>
  <si>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</si>
  <si>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</si>
  <si>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</si>
  <si>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</si>
  <si>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</si>
  <si>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</si>
  <si>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</si>
  <si>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</si>
  <si>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</si>
  <si>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</si>
  <si>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</si>
  <si>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</si>
  <si>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</si>
  <si>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</si>
  <si>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</si>
  <si>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</si>
  <si>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</si>
  <si>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</si>
  <si>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</si>
  <si>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</si>
  <si>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</si>
  <si>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</si>
  <si>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</si>
  <si>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</si>
  <si>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</si>
  <si>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</si>
  <si>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</si>
  <si>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</si>
  <si>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</si>
  <si>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</si>
  <si>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</si>
  <si>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</si>
  <si>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</si>
  <si>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</si>
  <si>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</si>
  <si>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</si>
  <si>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</si>
  <si>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</si>
  <si>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</si>
  <si>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</si>
  <si>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</si>
  <si>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</si>
  <si>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</si>
  <si>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</si>
  <si>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</si>
  <si>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</si>
  <si>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</si>
  <si>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</si>
  <si>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</si>
  <si>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</si>
  <si>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</si>
  <si>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</si>
  <si>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</si>
  <si>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</si>
  <si>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</si>
  <si>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</si>
  <si>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</si>
  <si>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</si>
  <si>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</si>
  <si>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</si>
  <si>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</si>
  <si>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</si>
  <si>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</si>
  <si>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</si>
  <si>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</si>
  <si>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</si>
  <si>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</si>
  <si>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</si>
  <si>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</si>
  <si>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</si>
  <si>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</si>
  <si>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</si>
  <si>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</si>
  <si>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</si>
  <si>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</si>
  <si>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</si>
  <si>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</si>
  <si>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</si>
  <si>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</si>
  <si>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</si>
  <si>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</si>
  <si>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</si>
  <si>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</si>
  <si>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</si>
  <si>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</si>
  <si>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</si>
  <si>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</si>
  <si>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</si>
  <si>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</si>
  <si>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</si>
  <si>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</si>
  <si>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</si>
  <si>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</si>
  <si>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</si>
  <si>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</si>
  <si>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</si>
  <si>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</si>
  <si>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</si>
  <si>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</si>
  <si>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</si>
  <si>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</si>
  <si>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</si>
  <si>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</si>
  <si>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</si>
  <si>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</si>
  <si>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</si>
  <si>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</si>
  <si>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</si>
  <si>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</si>
  <si>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</si>
  <si>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</si>
  <si>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</si>
  <si>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</si>
  <si>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</si>
  <si>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</si>
  <si>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</si>
  <si>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</si>
  <si>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</si>
  <si>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</si>
  <si>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</si>
  <si>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</si>
  <si>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</si>
  <si>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</si>
  <si>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</si>
  <si>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</si>
  <si>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</si>
  <si>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</si>
  <si>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</si>
  <si>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</si>
  <si>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</si>
  <si>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</si>
  <si>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</si>
  <si>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산출물 관리</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</si>
  <si>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</si>
  <si>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</si>
  <si>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</si>
  <si>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</si>
  <si>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</si>
  <si>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</si>
  <si>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</si>
  <si>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</si>
  <si>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</si>
  <si>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</si>
  <si>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</si>
  <si>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</si>
  <si>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</si>
  <si>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Calendar관리</t>
    <phoneticPr fontId="2" type="noConversion"/>
  </si>
  <si>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</si>
  <si>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</si>
  <si>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</si>
  <si>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https://xlworks.net/xlgantt_easy_tip/</t>
    <phoneticPr fontId="2" type="noConversion"/>
  </si>
  <si>
    <t>https://xlworks.net/xlgantt_howto_02_task/</t>
    <phoneticPr fontId="2" type="noConversion"/>
  </si>
  <si>
    <t>https://xlworks.net/xlgantt_howto_03_gantt_chart/</t>
  </si>
  <si>
    <t>https://xlworks.net/xlgantt_howto_04_project_progress/</t>
  </si>
  <si>
    <t>https://xlworks.net/xlgantt_howto_05_analysis_report/</t>
  </si>
  <si>
    <t>https://xlworks.net/xlgantt_howto_06_schedule_change_management/</t>
  </si>
  <si>
    <t>https://xlworks.net/xlgantt-howto-07-deliverables/</t>
  </si>
  <si>
    <t>https://xlworks.net/xlgantt-howto-08-add-tasks-to-outlook/</t>
  </si>
  <si>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</si>
  <si>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</si>
  <si>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</si>
  <si>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</si>
  <si>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</si>
  <si>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How to use</t>
  </si>
  <si>
    <t>Multilingual Support</t>
  </si>
  <si>
    <t>Help</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</si>
  <si>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</si>
  <si>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</si>
  <si>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</si>
  <si>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</si>
  <si>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</si>
  <si>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</si>
  <si>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</si>
  <si>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</si>
  <si>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</si>
  <si>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</si>
  <si>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</si>
  <si>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</si>
  <si>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</si>
  <si>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</si>
  <si>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Deliverables</t>
    <phoneticPr fontId="2" type="noConversion"/>
  </si>
  <si>
    <t>Schedule change</t>
    <phoneticPr fontId="2" type="noConversion"/>
  </si>
  <si>
    <t>Adding Tasks to Microsoft Outlook Calendar</t>
    <phoneticPr fontId="2" type="noConversion"/>
  </si>
  <si>
    <t>Importing Schedules from Another File</t>
    <phoneticPr fontId="2" type="noConversion"/>
  </si>
  <si>
    <t>Calendar</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</si>
  <si>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</si>
  <si>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</si>
  <si>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</si>
  <si>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</si>
  <si>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</si>
  <si>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</si>
  <si>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</si>
  <si>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</si>
  <si>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</si>
  <si>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</si>
  <si>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</si>
  <si>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</si>
  <si>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</si>
  <si>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</si>
  <si>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</si>
  <si>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</si>
  <si>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XLGantt Version 3.0.1 Terms of Use</t>
    <phoneticPr fontId="2" type="noConversion"/>
  </si>
  <si>
    <t>XLGantt Version 3.0.1 사용조건</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</si>
  <si>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</si>
  <si>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</si>
  <si>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</si>
  <si>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https://xlworks.net/en/getting_started_with_xlgantt/</t>
    <phoneticPr fontId="2" type="noConversion"/>
  </si>
  <si>
    <t>https://xlworks.net/en/xlgantt_howto_02_task/</t>
    <phoneticPr fontId="2" type="noConversion"/>
  </si>
  <si>
    <t>https://xlworks.net/en/xlgantt_howto_03_gantt_chart/</t>
    <phoneticPr fontId="2" type="noConversion"/>
  </si>
  <si>
    <t>https://xlworks.net/en/xlgantt_howto_04_project_progress/</t>
    <phoneticPr fontId="2" type="noConversion"/>
  </si>
  <si>
    <t>https://xlworks.net/en/xlgantt_howto_05_analysis_report/</t>
    <phoneticPr fontId="2" type="noConversion"/>
  </si>
  <si>
    <t>https://xlworks.net/en/xlgantt_howto_06_schedule_change_management/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</si>
  <si>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</si>
  <si>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</si>
  <si>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</si>
  <si>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</si>
  <si>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</si>
  <si>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</si>
  <si>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</si>
  <si>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</si>
  <si>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</si>
  <si>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</si>
  <si>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</si>
  <si>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</si>
  <si>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</si>
  <si>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</si>
  <si>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4.0.0</t>
    <phoneticPr fontId="2" type="noConversion"/>
  </si>
  <si>
    <t>XLGantt 4.0.0 ©XLWorks</t>
    <phoneticPr fontId="4"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</si>
  <si>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</si>
  <si>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</si>
  <si>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</si>
  <si>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</si>
  <si>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</si>
  <si>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</si>
  <si>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</si>
  <si>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</si>
  <si>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</si>
  <si>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</si>
  <si>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</si>
  <si>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</si>
  <si>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</si>
  <si>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</si>
  <si>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</si>
  <si>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</si>
  <si>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</si>
  <si>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</si>
  <si>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</si>
  <si>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</si>
  <si>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</si>
  <si>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</si>
  <si>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</si>
  <si>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</si>
  <si>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</si>
  <si>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</si>
  <si>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</si>
  <si>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</si>
  <si>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</si>
  <si>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</si>
  <si>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</si>
  <si>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</si>
  <si>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</si>
  <si>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</si>
  <si>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</si>
  <si>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</si>
  <si>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</si>
  <si>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</si>
  <si>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</si>
  <si>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</si>
  <si>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</si>
  <si>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</si>
  <si>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</si>
  <si>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</si>
  <si>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</si>
  <si>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</si>
  <si>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</si>
  <si>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</si>
  <si>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</si>
  <si>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</si>
  <si>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</si>
  <si>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</si>
  <si>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</si>
  <si>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</si>
  <si>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</si>
  <si>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</si>
  <si>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</si>
  <si>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</si>
  <si>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</si>
  <si>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</si>
  <si>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</si>
  <si>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</si>
  <si>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</si>
  <si>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</si>
  <si>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</si>
  <si>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</si>
  <si>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(담당자미지정)</t>
  </si>
  <si>
    <t>엑셀간트(XLGantt) - 엑셀 일정관리</t>
    <phoneticPr fontId="18" type="noConversion"/>
  </si>
  <si>
    <r>
      <rPr>
        <b/>
        <sz val="11"/>
        <color theme="10"/>
        <rFont val="Malgun Gothic"/>
        <family val="3"/>
        <charset val="129"/>
      </rPr>
      <t>도움말</t>
    </r>
    <r>
      <rPr>
        <b/>
        <sz val="11"/>
        <color theme="10"/>
        <rFont val="Calibri"/>
        <family val="2"/>
      </rPr>
      <t xml:space="preserve">, </t>
    </r>
    <r>
      <rPr>
        <b/>
        <sz val="11"/>
        <color theme="10"/>
        <rFont val="Malgun Gothic"/>
        <family val="3"/>
        <charset val="129"/>
      </rPr>
      <t>최신</t>
    </r>
    <r>
      <rPr>
        <b/>
        <sz val="11"/>
        <color theme="10"/>
        <rFont val="Calibri"/>
        <family val="2"/>
      </rPr>
      <t xml:space="preserve"> </t>
    </r>
    <r>
      <rPr>
        <b/>
        <sz val="11"/>
        <color theme="10"/>
        <rFont val="Malgun Gothic"/>
        <family val="3"/>
        <charset val="129"/>
      </rPr>
      <t>버전</t>
    </r>
    <r>
      <rPr>
        <b/>
        <sz val="11"/>
        <color theme="10"/>
        <rFont val="Calibri"/>
        <family val="2"/>
      </rPr>
      <t xml:space="preserve"> </t>
    </r>
    <r>
      <rPr>
        <b/>
        <sz val="11"/>
        <color theme="10"/>
        <rFont val="Malgun Gothic"/>
        <family val="3"/>
        <charset val="129"/>
      </rPr>
      <t>다운로드</t>
    </r>
    <r>
      <rPr>
        <b/>
        <sz val="11"/>
        <color theme="10"/>
        <rFont val="Calibri"/>
        <family val="2"/>
      </rPr>
      <t xml:space="preserve"> - https://xlworks.net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</si>
  <si>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</si>
  <si>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</si>
  <si>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</si>
  <si>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</si>
  <si>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</si>
  <si>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</si>
  <si>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</si>
  <si>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</si>
  <si>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</si>
  <si>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</si>
  <si>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</si>
  <si>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</si>
  <si>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</si>
  <si>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</si>
  <si>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</si>
  <si>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</si>
  <si>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</si>
  <si>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</si>
  <si>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</si>
  <si>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</si>
  <si>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</si>
  <si>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</si>
  <si>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</si>
  <si>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</si>
  <si>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</si>
  <si>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</si>
  <si>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</si>
  <si>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</si>
  <si>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</si>
  <si>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</si>
  <si>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</si>
  <si>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</si>
  <si>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</si>
  <si>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</si>
  <si>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</si>
  <si>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</si>
  <si>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</si>
  <si>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</si>
  <si>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</si>
  <si>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</si>
  <si>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</si>
  <si>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</si>
  <si>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</si>
  <si>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</si>
  <si>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</si>
  <si>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</si>
  <si>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</si>
  <si>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</si>
  <si>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</si>
  <si>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</si>
  <si>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</si>
  <si>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</si>
  <si>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</si>
  <si>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</si>
  <si>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</si>
  <si>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</si>
  <si>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</si>
  <si>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</si>
  <si>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Total</t>
  </si>
  <si>
    <t>파워포인트</t>
    <phoneticPr fontId="4" type="noConversion"/>
  </si>
  <si>
    <t>자동지정</t>
    <phoneticPr fontId="4" type="noConversion"/>
  </si>
  <si>
    <t>워드</t>
    <phoneticPr fontId="4" type="noConversion"/>
  </si>
  <si>
    <t>엑셀</t>
    <phoneticPr fontId="4"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</si>
  <si>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</si>
  <si>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</si>
  <si>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</si>
  <si>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</si>
  <si>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</si>
  <si>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</si>
  <si>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</si>
  <si>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</si>
  <si>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</si>
  <si>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</si>
  <si>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</si>
  <si>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</si>
  <si>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</si>
  <si>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</si>
  <si>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</si>
  <si>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</si>
  <si>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</si>
  <si>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</si>
  <si>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</si>
  <si>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</si>
  <si>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</si>
  <si>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</si>
  <si>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</si>
  <si>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</si>
  <si>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</si>
  <si>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</si>
  <si>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</si>
  <si>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</si>
  <si>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</si>
  <si>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Gantt progress line</t>
    <phoneticPr fontId="2" type="noConversion"/>
  </si>
  <si>
    <t>간트차트 진척율Line</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</si>
  <si>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</si>
  <si>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</si>
  <si>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</si>
  <si>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</si>
  <si>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r>
      <t xml:space="preserve">XLGantt Version 4.0.0 </t>
    </r>
    <r>
      <rPr>
        <b/>
        <sz val="12"/>
        <color theme="1"/>
        <rFont val="맑은 고딕"/>
        <family val="3"/>
        <charset val="129"/>
      </rPr>
      <t>사용조건</t>
    </r>
    <phoneticPr fontId="2" type="noConversion"/>
  </si>
  <si>
    <t>G</t>
  </si>
  <si>
    <t>1.2.3</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</si>
  <si>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</si>
  <si>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</si>
  <si>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</si>
  <si>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</si>
  <si>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</si>
  <si>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</si>
  <si>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</si>
  <si>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</si>
  <si>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</si>
  <si>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DEFINED</t>
    <phoneticPr fontId="4" type="noConversion"/>
  </si>
  <si>
    <t>{"TASK_FIRST_COL":"5","START_ROW":"5","WBS_AREA_LAST_COL":"31"}</t>
    <phoneticPr fontId="4" type="noConversion"/>
  </si>
  <si>
    <t>SCHEDULE_SHEET_POSITION:3545151617181920212223242526272829303132</t>
    <phoneticPr fontId="2" type="noConversion"/>
  </si>
  <si>
    <t>255;6723891;6723891;8421504;26367;16711884;16764108;16711782</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</si>
  <si>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</si>
  <si>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</si>
  <si>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</si>
  <si>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</si>
  <si>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</si>
  <si>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</si>
  <si>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</si>
  <si>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</si>
  <si>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</si>
  <si>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</si>
  <si>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</si>
  <si>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</si>
  <si>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</si>
  <si>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</si>
  <si>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</si>
  <si>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</si>
  <si>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</si>
  <si>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TODAY</t>
    <phoneticPr fontId="2" type="noConversion"/>
  </si>
  <si>
    <t>프로젝트 진척율 - 일정변경 관리하지 않을때</t>
    <phoneticPr fontId="4" type="noConversion"/>
  </si>
  <si>
    <t>프로젝트 진척율(주별)</t>
  </si>
  <si>
    <t>* 주별로 프로젝트 진적율을 보여줍니다.</t>
  </si>
  <si>
    <t>* "진척율(주별)" 메뉴를 클릭해야 갱신됨</t>
  </si>
  <si>
    <t>프로젝트 착수</t>
  </si>
  <si>
    <t>1.1.2.1</t>
  </si>
  <si>
    <t>프로젝트 계획 수립</t>
  </si>
  <si>
    <t>이지은</t>
  </si>
  <si>
    <t>1.1.2.2</t>
  </si>
  <si>
    <t>착수보고(Kick off)</t>
  </si>
  <si>
    <t>월간보고1</t>
  </si>
  <si>
    <t>월간보고2</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</si>
  <si>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</si>
  <si>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</si>
  <si>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</si>
  <si>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</si>
  <si>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</si>
  <si>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</si>
  <si>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</si>
  <si>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</si>
  <si>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</si>
  <si>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</si>
  <si>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</si>
  <si>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</si>
  <si>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</si>
  <si>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</si>
  <si>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</si>
  <si>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</si>
  <si>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</si>
  <si>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</si>
  <si>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</si>
  <si>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</si>
  <si>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</si>
  <si>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</si>
  <si>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</si>
  <si>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</si>
  <si>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</si>
  <si>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</si>
  <si>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</si>
  <si>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</si>
  <si>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</si>
  <si>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</si>
  <si>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</si>
  <si>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</si>
  <si>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</si>
  <si>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</si>
  <si>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</si>
  <si>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</si>
  <si>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</si>
  <si>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</si>
  <si>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</si>
  <si>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</si>
  <si>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</si>
  <si>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</si>
  <si>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</si>
  <si>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</si>
  <si>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</si>
  <si>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</si>
  <si>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</si>
  <si>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</si>
  <si>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</si>
  <si>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</si>
  <si>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</si>
  <si>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</si>
  <si>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</si>
  <si>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</si>
  <si>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</si>
  <si>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</si>
  <si>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</si>
  <si>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</si>
  <si>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</si>
  <si>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</si>
  <si>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</si>
  <si>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W5</t>
  </si>
  <si>
    <t>2.1</t>
  </si>
  <si>
    <t>2.2</t>
  </si>
  <si>
    <t>2.3</t>
  </si>
  <si>
    <t>2.4</t>
  </si>
  <si>
    <t>김분석</t>
  </si>
  <si>
    <t>박피엠</t>
  </si>
  <si>
    <t>나고객</t>
  </si>
  <si>
    <t>이고객</t>
  </si>
  <si>
    <t>박설계</t>
  </si>
  <si>
    <t>시스템개발</t>
  </si>
  <si>
    <t>주제 선정을 위한 브레인 스토밍</t>
  </si>
  <si>
    <t>08/30
W36</t>
  </si>
  <si>
    <t>아이디어 선정 회의</t>
  </si>
  <si>
    <t>본인이 선정한 아이디어 발표 준비</t>
  </si>
  <si>
    <t>교육</t>
  </si>
  <si>
    <t>Pyhton 교육</t>
  </si>
  <si>
    <t>웹크롤링 연습</t>
  </si>
  <si>
    <t>09/27
W40</t>
  </si>
  <si>
    <t>기존의 시스템 분석</t>
  </si>
  <si>
    <t>요구사항 수집</t>
  </si>
  <si>
    <t>10/25
W44</t>
  </si>
  <si>
    <t>W9</t>
  </si>
  <si>
    <t>11/22
W48</t>
  </si>
  <si>
    <t>W13</t>
  </si>
  <si>
    <t>1팀 시스템 구축</t>
    <phoneticPr fontId="2" type="noConversion"/>
  </si>
  <si>
    <t>09/06
W37</t>
  </si>
  <si>
    <t>W2</t>
  </si>
  <si>
    <t>09/13
W38</t>
  </si>
  <si>
    <t>W3</t>
  </si>
  <si>
    <t>09/20
W39</t>
  </si>
  <si>
    <t>W4</t>
  </si>
  <si>
    <t>10/04
W41</t>
  </si>
  <si>
    <t>W6</t>
  </si>
  <si>
    <t>10/11
W42</t>
  </si>
  <si>
    <t>W7</t>
  </si>
  <si>
    <t>10/18
W43</t>
  </si>
  <si>
    <t>W8</t>
  </si>
  <si>
    <t>11/01
W45</t>
  </si>
  <si>
    <t>W10</t>
  </si>
  <si>
    <t>11/08
W46</t>
  </si>
  <si>
    <t>W11</t>
  </si>
  <si>
    <t>11/15
W47</t>
  </si>
  <si>
    <t>W12</t>
  </si>
  <si>
    <t>11/29
W49</t>
  </si>
  <si>
    <t>W14</t>
  </si>
  <si>
    <r>
      <t xml:space="preserve">XLGantt 4.0.0 ©XLWorks </t>
    </r>
    <r>
      <rPr>
        <b/>
        <sz val="9"/>
        <color rgb="FFFF8800"/>
        <rFont val="Calibri"/>
        <family val="2"/>
      </rPr>
      <t xml:space="preserve"> </t>
    </r>
    <r>
      <rPr>
        <b/>
        <sz val="9"/>
        <color rgb="FFFF8800"/>
        <rFont val="돋움"/>
        <family val="3"/>
        <charset val="129"/>
      </rPr>
      <t>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</si>
  <si>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팀원 모두</t>
  </si>
  <si>
    <t>교육담당 : 남인우</t>
  </si>
  <si>
    <t>김민수, 박지민</t>
  </si>
  <si>
    <t>인터뷰어 : 조동현 인터뷰이 : 그외</t>
  </si>
  <si>
    <t>요구사항 결정</t>
  </si>
  <si>
    <t>기능적/비기능적 요구</t>
  </si>
  <si>
    <t>요구사항 분석</t>
  </si>
  <si>
    <t>Functional</t>
  </si>
  <si>
    <t>activity diagram</t>
  </si>
  <si>
    <t>use-case diagram</t>
  </si>
  <si>
    <t>use-case description</t>
  </si>
  <si>
    <t>1.4.1.1</t>
  </si>
  <si>
    <t>1.4.1.2</t>
  </si>
  <si>
    <t>1.4.1.3</t>
  </si>
  <si>
    <t>Structural</t>
  </si>
  <si>
    <t>class diagram</t>
  </si>
  <si>
    <t>Behavioral</t>
  </si>
  <si>
    <t>squence diagram</t>
  </si>
  <si>
    <t>state machine diagram</t>
  </si>
  <si>
    <t>1.4.2.1</t>
  </si>
  <si>
    <t>1.4.3.1</t>
  </si>
  <si>
    <t>1.4.3.2</t>
  </si>
  <si>
    <t>중간고사</t>
  </si>
  <si>
    <t>1차 회의</t>
  </si>
  <si>
    <t>기능적/비기능적 요구 수정</t>
  </si>
  <si>
    <t>use-case diagram 작성</t>
  </si>
  <si>
    <t>use-case description 작성</t>
  </si>
  <si>
    <t>activity diagram 작성</t>
  </si>
  <si>
    <t>타당성 검증</t>
  </si>
  <si>
    <t>조동현</t>
  </si>
  <si>
    <t>남인우 조동현</t>
  </si>
  <si>
    <t>김민수 박지민</t>
  </si>
  <si>
    <t>2차 회의</t>
  </si>
  <si>
    <t>class diagram 작성</t>
  </si>
  <si>
    <t>object diagram 작성</t>
  </si>
  <si>
    <t>squence diagram 작성</t>
  </si>
  <si>
    <t>state machine diagram 작성</t>
  </si>
  <si>
    <t>김민수, 조동현</t>
  </si>
  <si>
    <t>박지민</t>
  </si>
  <si>
    <t>남인우</t>
  </si>
  <si>
    <t>팀원 모두 (재택근무)</t>
  </si>
  <si>
    <t>3차 회의전까지 파이썬 공부</t>
  </si>
  <si>
    <t>3차 회의</t>
  </si>
  <si>
    <t>Partitioning from Class Diagram 작성</t>
  </si>
  <si>
    <t>System Architecture 작성</t>
  </si>
  <si>
    <t>GUI 구현</t>
  </si>
  <si>
    <t>김민수, 남인우</t>
  </si>
  <si>
    <t>일정 재정립</t>
  </si>
  <si>
    <t>학부 크롤링</t>
  </si>
  <si>
    <t>학부 setting</t>
  </si>
  <si>
    <t>LMS 크롤링</t>
  </si>
  <si>
    <t>LMS setting</t>
  </si>
  <si>
    <t>구현 분업 (+ 구현을 위한 공부)</t>
  </si>
  <si>
    <t>김민수</t>
  </si>
  <si>
    <t>역공학으로 문서 검증</t>
  </si>
  <si>
    <t>코드 통합</t>
  </si>
  <si>
    <t>4차 회의 (온라인)</t>
  </si>
  <si>
    <t>5차 회의 (예정)</t>
  </si>
  <si>
    <t>문서 최종화</t>
  </si>
  <si>
    <t>시스템 최종 수정</t>
  </si>
  <si>
    <t>김민수, 박지민, 남인우</t>
  </si>
  <si>
    <t>남인우, 조동현</t>
  </si>
  <si>
    <t>3.1</t>
  </si>
  <si>
    <t>3.2</t>
  </si>
  <si>
    <t>3.3</t>
  </si>
  <si>
    <t>3.4</t>
  </si>
  <si>
    <t>3.5</t>
  </si>
  <si>
    <t>4.1</t>
  </si>
  <si>
    <t>4.2</t>
  </si>
  <si>
    <t>4.3</t>
  </si>
  <si>
    <t>4.4</t>
  </si>
  <si>
    <t>4.5</t>
  </si>
  <si>
    <t>5.1</t>
  </si>
  <si>
    <t>5.2</t>
  </si>
  <si>
    <t>5.3</t>
  </si>
  <si>
    <t>5.4</t>
  </si>
  <si>
    <t>5.5</t>
  </si>
  <si>
    <t>5.5.1</t>
  </si>
  <si>
    <t>5.5.2</t>
  </si>
  <si>
    <t>5.5.3</t>
  </si>
  <si>
    <t>5.5.4</t>
  </si>
  <si>
    <t>6.1</t>
  </si>
  <si>
    <t>6.2</t>
  </si>
  <si>
    <t>7.1</t>
  </si>
  <si>
    <t>7.2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</si>
</sst>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0.0_);[Red]\(0.0\)"/>
    <numFmt numFmtId="179" formatCode="0.00_);[Red]\(0.00\)"/>
    <numFmt numFmtId="180" formatCode="dd"/>
  </numFmts>
  <fonts count="53">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1"/>
      <color theme="10"/>
      <name val="Calibri"/>
      <family val="2"/>
    </font>
    <font>
      <b/>
      <sz val="11"/>
      <name val="HY견고딕"/>
      <family val="1"/>
      <charset val="129"/>
    </font>
    <font>
      <b/>
      <sz val="18"/>
      <name val="Calibri"/>
      <family val="2"/>
    </font>
    <font>
      <b/>
      <sz val="11"/>
      <color theme="10"/>
      <name val="Malgun Gothic"/>
      <family val="3"/>
      <charset val="129"/>
    </font>
    <font>
      <sz val="8"/>
      <color theme="0"/>
      <name val="Calibri"/>
      <family val="2"/>
    </font>
    <font>
      <sz val="11"/>
      <color theme="1"/>
      <name val="맑은 고딕"/>
      <family val="2"/>
      <scheme val="minor"/>
    </font>
    <font>
      <b/>
      <sz val="12"/>
      <color theme="1"/>
      <name val="맑은 고딕"/>
      <family val="3"/>
      <charset val="129"/>
    </font>
    <font>
      <sz val="9"/>
      <color rgb="FFFF8800"/>
      <name val="Calibri"/>
      <family val="2"/>
    </font>
    <font>
      <sz val="8"/>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s>
  <fills count="21">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FF8800"/>
        <bgColor indexed="64"/>
      </patternFill>
    </fill>
    <fill>
      <patternFill patternType="solid">
        <fgColor rgb="FF6600FF"/>
        <bgColor indexed="64"/>
      </patternFill>
    </fill>
  </fills>
  <borders count="30">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right/>
      <top/>
      <bottom style="thin">
        <color theme="0" tint="-0.34998626667073579"/>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9" fillId="0" borderId="0" applyFont="0" applyFill="0" applyBorder="0" applyAlignment="0" applyProtection="0">
      <alignment vertical="center"/>
    </xf>
  </cellStyleXfs>
  <cellXfs count="294">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21" fillId="0" borderId="0" xfId="5" applyFont="1" applyFill="1" applyBorder="1" applyAlignment="1">
      <alignment horizontal="left" vertical="top" wrapText="1"/>
    </xf>
    <xf numFmtId="0" fontId="21" fillId="0" borderId="0" xfId="5" applyFont="1" applyFill="1" applyBorder="1" applyAlignment="1">
      <alignment horizontal="left" vertical="top"/>
    </xf>
    <xf numFmtId="0" fontId="22" fillId="0" borderId="0" xfId="5" applyFont="1" applyFill="1" applyBorder="1" applyAlignment="1">
      <alignment horizontal="left" vertical="top"/>
    </xf>
    <xf numFmtId="0" fontId="23" fillId="0" borderId="0" xfId="4" applyFont="1" applyAlignment="1">
      <alignment vertical="top"/>
    </xf>
    <xf numFmtId="0" fontId="21" fillId="0" borderId="0" xfId="5" applyNumberFormat="1" applyFont="1" applyFill="1" applyBorder="1" applyAlignment="1">
      <alignment horizontal="left" vertical="top" wrapText="1"/>
    </xf>
    <xf numFmtId="14" fontId="21" fillId="0" borderId="0" xfId="5" applyNumberFormat="1" applyFont="1" applyFill="1" applyBorder="1" applyAlignment="1">
      <alignment horizontal="left" vertical="top" wrapText="1"/>
    </xf>
    <xf numFmtId="0" fontId="23" fillId="0" borderId="0" xfId="5" applyFont="1" applyFill="1" applyBorder="1" applyAlignment="1">
      <alignment horizontal="left" vertical="top"/>
    </xf>
    <xf numFmtId="0" fontId="22" fillId="0" borderId="0" xfId="5" applyFont="1" applyFill="1" applyBorder="1" applyAlignment="1">
      <alignment horizontal="left" vertical="top" wrapText="1"/>
    </xf>
    <xf numFmtId="0" fontId="21" fillId="0" borderId="0" xfId="0" applyFont="1" applyAlignment="1"/>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1" fillId="0" borderId="0" xfId="0" applyFont="1" applyFill="1"/>
    <xf numFmtId="0" fontId="27" fillId="10" borderId="0" xfId="0" applyFont="1" applyFill="1" applyBorder="1" applyAlignment="1">
      <alignment vertical="center"/>
    </xf>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3" borderId="17" xfId="2" applyFont="1" applyFill="1" applyBorder="1" applyAlignment="1" applyProtection="1">
      <alignment horizontal="center" vertical="center" wrapText="1"/>
      <protection locked="0"/>
    </xf>
    <xf numFmtId="0" fontId="30" fillId="12"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5"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1" fillId="11"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6" borderId="0" xfId="0" applyFont="1" applyFill="1" applyAlignment="1" applyProtection="1">
      <alignment horizontal="left"/>
      <protection locked="0"/>
    </xf>
    <xf numFmtId="0" fontId="10" fillId="16" borderId="0" xfId="0" applyFont="1" applyFill="1" applyProtection="1">
      <protection locked="0"/>
    </xf>
    <xf numFmtId="0" fontId="29" fillId="16" borderId="0" xfId="0" applyFont="1" applyFill="1" applyProtection="1">
      <protection locked="0"/>
    </xf>
    <xf numFmtId="0" fontId="10" fillId="16"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0" fontId="27" fillId="10" borderId="19" xfId="0" applyFont="1" applyFill="1" applyBorder="1" applyAlignment="1">
      <alignment vertical="center"/>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9" fillId="0" borderId="10" xfId="4" applyNumberFormat="1" applyFont="1" applyBorder="1"/>
    <xf numFmtId="0" fontId="9" fillId="0" borderId="10" xfId="4" applyFont="1" applyBorder="1"/>
    <xf numFmtId="0" fontId="9" fillId="0" borderId="10" xfId="4" applyNumberFormat="1" applyFont="1" applyBorder="1"/>
    <xf numFmtId="14" fontId="0" fillId="8" borderId="0" xfId="0" applyNumberFormat="1" applyFill="1"/>
    <xf numFmtId="0" fontId="3" fillId="18" borderId="0" xfId="2" applyFill="1" applyBorder="1" applyAlignment="1">
      <alignment horizontal="left" vertical="center"/>
    </xf>
    <xf numFmtId="0" fontId="9" fillId="6" borderId="2" xfId="4" applyNumberFormat="1" applyFont="1" applyFill="1" applyBorder="1" applyAlignment="1">
      <alignment horizontal="left" wrapText="1"/>
    </xf>
    <xf numFmtId="10" fontId="9" fillId="0" borderId="0" xfId="4" applyNumberFormat="1" applyFont="1" applyBorder="1"/>
    <xf numFmtId="0" fontId="9" fillId="6" borderId="3" xfId="4" applyNumberFormat="1" applyFont="1" applyFill="1" applyBorder="1" applyAlignment="1">
      <alignment horizontal="left" wrapText="1"/>
    </xf>
    <xf numFmtId="10" fontId="9" fillId="0" borderId="10" xfId="6" applyNumberFormat="1" applyFont="1" applyBorder="1" applyAlignment="1"/>
    <xf numFmtId="10" fontId="9" fillId="6" borderId="2" xfId="4" applyNumberFormat="1" applyFont="1" applyFill="1" applyBorder="1" applyAlignment="1">
      <alignment horizontal="left" wrapText="1"/>
    </xf>
    <xf numFmtId="0" fontId="23" fillId="18"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7" xfId="4" applyFont="1" applyFill="1" applyBorder="1" applyAlignment="1" applyProtection="1">
      <alignment vertical="top"/>
      <protection locked="0"/>
    </xf>
    <xf numFmtId="0" fontId="23" fillId="0" borderId="27" xfId="4" quotePrefix="1" applyFont="1" applyFill="1" applyBorder="1" applyAlignment="1" applyProtection="1">
      <alignment horizontal="right" vertical="top"/>
      <protection locked="0"/>
    </xf>
    <xf numFmtId="0" fontId="23" fillId="0" borderId="27" xfId="4" applyFont="1" applyFill="1" applyBorder="1" applyAlignment="1" applyProtection="1">
      <alignment horizontal="left" vertical="top"/>
      <protection locked="0"/>
    </xf>
    <xf numFmtId="14" fontId="23" fillId="0" borderId="27" xfId="4" applyNumberFormat="1" applyFont="1" applyFill="1" applyBorder="1" applyAlignment="1" applyProtection="1">
      <alignment horizontal="center" vertical="top"/>
      <protection locked="0"/>
    </xf>
    <xf numFmtId="0" fontId="23" fillId="0" borderId="27" xfId="4" applyNumberFormat="1" applyFont="1" applyFill="1" applyBorder="1" applyAlignment="1" applyProtection="1">
      <alignment horizontal="left" vertical="top"/>
      <protection locked="0"/>
    </xf>
    <xf numFmtId="178" fontId="23" fillId="0" borderId="27" xfId="4" applyNumberFormat="1" applyFont="1" applyFill="1" applyBorder="1" applyAlignment="1" applyProtection="1">
      <alignment horizontal="center" vertical="top"/>
      <protection locked="0"/>
    </xf>
    <xf numFmtId="177" fontId="23" fillId="0" borderId="27" xfId="4" applyNumberFormat="1" applyFont="1" applyFill="1" applyBorder="1" applyAlignment="1" applyProtection="1">
      <alignment horizontal="center" vertical="top"/>
      <protection locked="0"/>
    </xf>
    <xf numFmtId="1" fontId="23" fillId="0" borderId="27" xfId="4" applyNumberFormat="1" applyFont="1" applyFill="1" applyBorder="1" applyAlignment="1" applyProtection="1">
      <alignment horizontal="center" vertical="top"/>
      <protection locked="0"/>
    </xf>
    <xf numFmtId="14" fontId="23" fillId="0" borderId="27" xfId="4" applyNumberFormat="1" applyFont="1" applyFill="1" applyBorder="1" applyAlignment="1" applyProtection="1">
      <alignment horizontal="left" vertical="top"/>
      <protection locked="0"/>
    </xf>
    <xf numFmtId="10" fontId="23" fillId="0" borderId="27" xfId="6" applyNumberFormat="1" applyFont="1" applyFill="1" applyBorder="1" applyAlignment="1" applyProtection="1">
      <alignment horizontal="right" vertical="top" wrapText="1"/>
      <protection locked="0"/>
    </xf>
    <xf numFmtId="10" fontId="23" fillId="0" borderId="27" xfId="6" applyNumberFormat="1" applyFont="1" applyFill="1" applyBorder="1" applyAlignment="1" applyProtection="1">
      <alignment horizontal="right" vertical="top"/>
      <protection locked="0"/>
    </xf>
    <xf numFmtId="0" fontId="23" fillId="0" borderId="24" xfId="4" applyFont="1" applyFill="1" applyBorder="1" applyAlignment="1" applyProtection="1">
      <alignment horizontal="left" vertical="center"/>
      <protection locked="0"/>
    </xf>
    <xf numFmtId="0" fontId="23" fillId="0" borderId="25" xfId="4" applyFont="1" applyFill="1" applyBorder="1" applyAlignment="1" applyProtection="1">
      <alignment horizontal="left" vertical="center"/>
      <protection locked="0"/>
    </xf>
    <xf numFmtId="0" fontId="23" fillId="0" borderId="23"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6" xfId="4" applyFont="1" applyFill="1" applyBorder="1" applyAlignment="1" applyProtection="1">
      <alignment vertical="top"/>
      <protection locked="0"/>
    </xf>
    <xf numFmtId="0" fontId="23" fillId="0" borderId="26" xfId="4" applyFont="1" applyFill="1" applyBorder="1" applyAlignment="1" applyProtection="1">
      <alignment horizontal="right" vertical="top"/>
      <protection locked="0"/>
    </xf>
    <xf numFmtId="0" fontId="23" fillId="0" borderId="26" xfId="4" applyFont="1" applyFill="1" applyBorder="1" applyAlignment="1" applyProtection="1">
      <alignment horizontal="left" vertical="top"/>
      <protection locked="0"/>
    </xf>
    <xf numFmtId="14" fontId="23" fillId="0" borderId="26" xfId="4" applyNumberFormat="1" applyFont="1" applyFill="1" applyBorder="1" applyAlignment="1" applyProtection="1">
      <alignment horizontal="center" vertical="top"/>
      <protection locked="0"/>
    </xf>
    <xf numFmtId="0" fontId="23" fillId="0" borderId="26" xfId="4" applyNumberFormat="1" applyFont="1" applyFill="1" applyBorder="1" applyAlignment="1" applyProtection="1">
      <alignment horizontal="left" vertical="top"/>
      <protection locked="0"/>
    </xf>
    <xf numFmtId="178" fontId="23" fillId="0" borderId="26" xfId="4" applyNumberFormat="1" applyFont="1" applyFill="1" applyBorder="1" applyAlignment="1" applyProtection="1">
      <alignment horizontal="center" vertical="top"/>
      <protection locked="0"/>
    </xf>
    <xf numFmtId="177" fontId="23" fillId="0" borderId="26" xfId="4" applyNumberFormat="1" applyFont="1" applyFill="1" applyBorder="1" applyAlignment="1" applyProtection="1">
      <alignment horizontal="center" vertical="top"/>
      <protection locked="0"/>
    </xf>
    <xf numFmtId="1" fontId="23" fillId="0" borderId="26" xfId="4" applyNumberFormat="1" applyFont="1" applyFill="1" applyBorder="1" applyAlignment="1" applyProtection="1">
      <alignment horizontal="center" vertical="top"/>
      <protection locked="0"/>
    </xf>
    <xf numFmtId="14" fontId="23" fillId="0" borderId="26" xfId="4" applyNumberFormat="1" applyFont="1" applyFill="1" applyBorder="1" applyAlignment="1" applyProtection="1">
      <alignment horizontal="left" vertical="top"/>
      <protection locked="0"/>
    </xf>
    <xf numFmtId="10" fontId="23" fillId="0" borderId="26" xfId="3" applyNumberFormat="1" applyFont="1" applyFill="1" applyBorder="1" applyAlignment="1" applyProtection="1">
      <alignment horizontal="right" vertical="top" wrapText="1"/>
      <protection locked="0"/>
    </xf>
    <xf numFmtId="10" fontId="23" fillId="0" borderId="26"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80" fontId="42" fillId="19" borderId="20" xfId="4" applyNumberFormat="1" applyFont="1" applyFill="1" applyBorder="1" applyAlignment="1" applyProtection="1">
      <alignment horizontal="center" vertical="center"/>
    </xf>
    <xf numFmtId="180" fontId="42" fillId="19" borderId="21" xfId="4" applyNumberFormat="1" applyFont="1" applyFill="1" applyBorder="1" applyAlignment="1" applyProtection="1">
      <alignment horizontal="center" vertical="center"/>
    </xf>
    <xf numFmtId="0" fontId="43" fillId="18" borderId="0" xfId="1" applyFont="1" applyFill="1" applyBorder="1" applyAlignment="1">
      <alignment horizontal="left" vertical="top"/>
    </xf>
    <xf numFmtId="0" fontId="43" fillId="18" borderId="0" xfId="1" applyFont="1" applyFill="1" applyBorder="1" applyAlignment="1">
      <alignment horizontal="left" vertical="center"/>
    </xf>
    <xf numFmtId="0" fontId="44" fillId="18" borderId="0" xfId="1" applyFont="1" applyFill="1" applyBorder="1" applyAlignment="1">
      <alignment horizontal="left" vertical="top"/>
    </xf>
    <xf numFmtId="0" fontId="45" fillId="18" borderId="0" xfId="1" applyFont="1" applyFill="1" applyBorder="1" applyAlignment="1">
      <alignment horizontal="left" vertical="center"/>
    </xf>
    <xf numFmtId="0" fontId="45" fillId="18" borderId="0" xfId="1" applyFont="1" applyFill="1" applyBorder="1" applyAlignment="1">
      <alignment vertical="center"/>
    </xf>
    <xf numFmtId="14" fontId="45" fillId="18" borderId="0" xfId="1" applyNumberFormat="1" applyFont="1" applyFill="1" applyBorder="1" applyAlignment="1">
      <alignment vertical="top"/>
    </xf>
    <xf numFmtId="14" fontId="46" fillId="18" borderId="0" xfId="1" applyNumberFormat="1" applyFont="1" applyFill="1" applyBorder="1" applyAlignment="1">
      <alignment horizontal="left" vertical="top" wrapText="1"/>
    </xf>
    <xf numFmtId="178" fontId="47" fillId="18" borderId="0" xfId="1" applyNumberFormat="1" applyFont="1" applyFill="1" applyBorder="1" applyAlignment="1">
      <alignment horizontal="center" vertical="top"/>
    </xf>
    <xf numFmtId="178" fontId="43" fillId="18" borderId="0" xfId="1" applyNumberFormat="1" applyFont="1" applyFill="1" applyBorder="1" applyAlignment="1">
      <alignment horizontal="center" vertical="top"/>
    </xf>
    <xf numFmtId="178" fontId="45" fillId="18" borderId="0" xfId="1" applyNumberFormat="1" applyFont="1" applyFill="1" applyBorder="1" applyAlignment="1">
      <alignment horizontal="center" vertical="top"/>
    </xf>
    <xf numFmtId="14" fontId="45" fillId="18" borderId="0" xfId="1" applyNumberFormat="1" applyFont="1" applyFill="1" applyBorder="1" applyAlignment="1">
      <alignment horizontal="center" vertical="top"/>
    </xf>
    <xf numFmtId="1" fontId="45" fillId="18" borderId="0" xfId="1" applyNumberFormat="1" applyFont="1" applyFill="1" applyBorder="1" applyAlignment="1">
      <alignment horizontal="center" vertical="top"/>
    </xf>
    <xf numFmtId="0" fontId="47" fillId="18" borderId="0" xfId="2" applyFont="1" applyFill="1" applyBorder="1" applyAlignment="1">
      <alignment vertical="top" wrapText="1"/>
    </xf>
    <xf numFmtId="0" fontId="47" fillId="18" borderId="0" xfId="2" applyNumberFormat="1" applyFont="1" applyFill="1" applyBorder="1" applyAlignment="1">
      <alignment vertical="top"/>
    </xf>
    <xf numFmtId="0" fontId="47" fillId="18" borderId="0" xfId="2" applyFont="1" applyFill="1" applyBorder="1" applyAlignment="1">
      <alignment vertical="top"/>
    </xf>
    <xf numFmtId="0" fontId="44" fillId="18" borderId="0" xfId="2" applyFont="1" applyFill="1" applyBorder="1" applyAlignment="1">
      <alignment horizontal="right" vertical="top"/>
    </xf>
    <xf numFmtId="0" fontId="44" fillId="18" borderId="0" xfId="2" applyFont="1" applyFill="1" applyBorder="1" applyAlignment="1">
      <alignment horizontal="right" vertical="center"/>
    </xf>
    <xf numFmtId="0" fontId="48" fillId="18" borderId="0" xfId="2" applyNumberFormat="1" applyFont="1" applyFill="1" applyBorder="1" applyAlignment="1">
      <alignment horizontal="right" vertical="center"/>
    </xf>
    <xf numFmtId="10" fontId="48" fillId="18" borderId="0" xfId="3" applyNumberFormat="1" applyFont="1" applyFill="1" applyBorder="1" applyAlignment="1">
      <alignment horizontal="right" vertical="center"/>
    </xf>
    <xf numFmtId="178" fontId="48" fillId="18" borderId="0" xfId="2" applyNumberFormat="1" applyFont="1" applyFill="1" applyBorder="1" applyAlignment="1">
      <alignment horizontal="right" vertical="center"/>
    </xf>
    <xf numFmtId="0" fontId="49" fillId="18" borderId="0" xfId="2" applyNumberFormat="1" applyFont="1" applyFill="1" applyBorder="1" applyAlignment="1">
      <alignment vertical="top"/>
    </xf>
    <xf numFmtId="0" fontId="49" fillId="18" borderId="0" xfId="2" applyNumberFormat="1" applyFont="1" applyFill="1" applyBorder="1" applyAlignment="1">
      <alignment horizontal="right" vertical="top"/>
    </xf>
    <xf numFmtId="0" fontId="52" fillId="18" borderId="0" xfId="2" applyFont="1" applyFill="1" applyBorder="1" applyAlignment="1">
      <alignment horizontal="left" vertical="center"/>
    </xf>
    <xf numFmtId="14" fontId="9" fillId="0" borderId="28" xfId="4" applyNumberFormat="1" applyFont="1" applyBorder="1"/>
    <xf numFmtId="0" fontId="9" fillId="0" borderId="28" xfId="4" applyFont="1" applyBorder="1"/>
    <xf numFmtId="0" fontId="9" fillId="0" borderId="28" xfId="4" applyNumberFormat="1" applyFont="1" applyBorder="1"/>
    <xf numFmtId="10" fontId="9" fillId="0" borderId="28" xfId="6" applyNumberFormat="1" applyFont="1" applyBorder="1" applyAlignment="1"/>
    <xf numFmtId="0" fontId="23" fillId="0" borderId="29" xfId="4" applyFont="1" applyFill="1" applyBorder="1" applyAlignment="1" applyProtection="1">
      <alignment vertical="top"/>
      <protection locked="0"/>
    </xf>
    <xf numFmtId="0" fontId="23" fillId="0" borderId="29" xfId="4" quotePrefix="1" applyFont="1" applyFill="1" applyBorder="1" applyAlignment="1" applyProtection="1">
      <alignment horizontal="right"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6" applyNumberFormat="1" applyFont="1" applyFill="1" applyBorder="1" applyAlignment="1" applyProtection="1">
      <alignment horizontal="right" vertical="top" wrapText="1"/>
      <protection locked="0"/>
    </xf>
    <xf numFmtId="10" fontId="23" fillId="0" borderId="29" xfId="6" applyNumberFormat="1" applyFont="1" applyFill="1" applyBorder="1" applyAlignment="1" applyProtection="1">
      <alignment horizontal="right" vertical="top"/>
      <protection locked="0"/>
    </xf>
    <xf numFmtId="180" fontId="42" fillId="19" borderId="22" xfId="4" applyNumberFormat="1" applyFont="1" applyFill="1" applyBorder="1" applyAlignment="1" applyProtection="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6" fillId="10" borderId="0" xfId="0" applyFont="1" applyFill="1" applyBorder="1" applyAlignment="1">
      <alignment horizontal="center" vertical="center"/>
    </xf>
    <xf numFmtId="0" fontId="36" fillId="10" borderId="19" xfId="0" applyFont="1" applyFill="1" applyBorder="1" applyAlignment="1">
      <alignment horizontal="center" vertical="center"/>
    </xf>
    <xf numFmtId="0" fontId="33" fillId="16" borderId="0" xfId="0" applyFont="1" applyFill="1" applyAlignment="1">
      <alignment horizontal="left" vertical="top" wrapText="1"/>
    </xf>
    <xf numFmtId="0" fontId="24" fillId="10" borderId="0" xfId="2" applyFont="1" applyFill="1" applyBorder="1" applyAlignment="1" applyProtection="1">
      <alignment horizontal="right"/>
    </xf>
    <xf numFmtId="0" fontId="34" fillId="10" borderId="19" xfId="2" applyFont="1" applyFill="1" applyBorder="1" applyAlignment="1" applyProtection="1">
      <alignment horizontal="right" vertical="center"/>
    </xf>
    <xf numFmtId="0" fontId="35" fillId="10" borderId="19" xfId="2" applyFont="1" applyFill="1" applyBorder="1" applyAlignment="1" applyProtection="1">
      <alignment horizontal="right" vertical="center"/>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38" fillId="19" borderId="21" xfId="1" applyFont="1" applyFill="1" applyBorder="1" applyAlignment="1">
      <alignment horizontal="left" vertical="center" wrapText="1"/>
    </xf>
    <xf numFmtId="0" fontId="38" fillId="19" borderId="21" xfId="1" applyFont="1" applyFill="1" applyBorder="1" applyAlignment="1">
      <alignment horizontal="left" vertical="center"/>
    </xf>
    <xf numFmtId="0" fontId="41" fillId="18" borderId="0" xfId="1" applyFont="1" applyFill="1" applyBorder="1" applyAlignment="1">
      <alignment horizontal="left" vertical="center"/>
    </xf>
    <xf numFmtId="0" fontId="38" fillId="19" borderId="22" xfId="1" applyFont="1" applyFill="1" applyBorder="1" applyAlignment="1">
      <alignment horizontal="left" vertical="center"/>
    </xf>
    <xf numFmtId="0" fontId="38" fillId="19" borderId="20" xfId="1" applyFont="1" applyFill="1" applyBorder="1" applyAlignment="1">
      <alignment horizontal="left" vertical="center" wrapText="1"/>
    </xf>
    <xf numFmtId="0" fontId="20" fillId="17" borderId="1" xfId="4" applyFont="1" applyFill="1" applyBorder="1" applyAlignment="1" applyProtection="1">
      <alignment horizontal="center" vertical="center" wrapText="1"/>
    </xf>
    <xf numFmtId="0" fontId="20" fillId="17" borderId="0" xfId="4" applyFont="1" applyFill="1" applyBorder="1" applyAlignment="1" applyProtection="1">
      <alignment horizontal="center" vertical="center" wrapText="1"/>
    </xf>
    <xf numFmtId="0" fontId="20" fillId="17" borderId="2" xfId="4" applyFont="1" applyFill="1" applyBorder="1" applyAlignment="1" applyProtection="1">
      <alignment horizontal="center" vertical="center"/>
    </xf>
    <xf numFmtId="0" fontId="20" fillId="17" borderId="16" xfId="4" applyFont="1" applyFill="1" applyBorder="1" applyAlignment="1" applyProtection="1">
      <alignment horizontal="center" vertical="center"/>
    </xf>
    <xf numFmtId="0" fontId="20" fillId="17"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20"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20" borderId="0" xfId="4" applyFont="1" applyFill="1" applyBorder="1" applyAlignment="1" applyProtection="1">
      <alignment horizontal="center" vertical="center"/>
    </xf>
    <xf numFmtId="0" fontId="20" fillId="20" borderId="3" xfId="4" applyFont="1" applyFill="1" applyBorder="1" applyAlignment="1" applyProtection="1">
      <alignment horizontal="center" vertical="center"/>
    </xf>
    <xf numFmtId="0" fontId="48" fillId="18"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20"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20"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20" borderId="2" xfId="4" applyNumberFormat="1" applyFont="1" applyFill="1" applyBorder="1" applyAlignment="1" applyProtection="1">
      <alignment horizontal="center" vertical="center" wrapText="1"/>
    </xf>
    <xf numFmtId="177" fontId="20" fillId="19" borderId="2" xfId="4" applyNumberFormat="1" applyFont="1" applyFill="1" applyBorder="1" applyAlignment="1" applyProtection="1">
      <alignment horizontal="center" vertical="center" wrapText="1"/>
    </xf>
    <xf numFmtId="177" fontId="20" fillId="20"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20" borderId="3" xfId="3"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20"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20" borderId="2" xfId="4" applyNumberFormat="1" applyFont="1" applyFill="1" applyBorder="1" applyAlignment="1" applyProtection="1">
      <alignment horizontal="center" vertical="top" wrapText="1"/>
    </xf>
    <xf numFmtId="10" fontId="20" fillId="19" borderId="2" xfId="3" applyNumberFormat="1" applyFont="1" applyFill="1" applyBorder="1" applyAlignment="1" applyProtection="1">
      <alignment horizontal="center" vertical="center" wrapText="1"/>
    </xf>
    <xf numFmtId="10" fontId="20" fillId="20" borderId="2" xfId="3" applyNumberFormat="1" applyFont="1" applyFill="1" applyBorder="1" applyAlignment="1" applyProtection="1">
      <alignment horizontal="center" vertical="center" wrapText="1"/>
    </xf>
    <xf numFmtId="0" fontId="20" fillId="9" borderId="2"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20" borderId="2" xfId="4" applyNumberFormat="1"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6">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6600FF"/>
      <color rgb="FF242424"/>
      <color rgb="FF009900"/>
      <color rgb="FF0066FF"/>
      <color rgb="FF008000"/>
      <color rgb="FFFF8800"/>
      <color rgb="FF0000FF"/>
      <color rgb="FF2592FF"/>
      <color rgb="FF6200EE"/>
      <color rgb="FF03DA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AnalysisReport!$F$7:$F$28</c:f>
              <c:numCache>
                <c:formatCode>0.00%</c:formatCode>
                <c:ptCount val="22"/>
                <c:pt idx="0">
                  <c:v>1.532567049808429E-2</c:v>
                </c:pt>
                <c:pt idx="1">
                  <c:v>6.3984674329501917E-2</c:v>
                </c:pt>
                <c:pt idx="2">
                  <c:v>0.13486590038314178</c:v>
                </c:pt>
                <c:pt idx="3">
                  <c:v>0.17471264367816092</c:v>
                </c:pt>
                <c:pt idx="4">
                  <c:v>0.2</c:v>
                </c:pt>
                <c:pt idx="5">
                  <c:v>0.23831417624521073</c:v>
                </c:pt>
                <c:pt idx="6">
                  <c:v>0.29195402298850576</c:v>
                </c:pt>
                <c:pt idx="7">
                  <c:v>0.31877394636015327</c:v>
                </c:pt>
                <c:pt idx="8">
                  <c:v>0.34636015325670499</c:v>
                </c:pt>
                <c:pt idx="9">
                  <c:v>0.41532567049808433</c:v>
                </c:pt>
                <c:pt idx="10">
                  <c:v>0.48429118773946361</c:v>
                </c:pt>
                <c:pt idx="11">
                  <c:v>0.51494252873563218</c:v>
                </c:pt>
                <c:pt idx="12">
                  <c:v>0.56091954022988511</c:v>
                </c:pt>
                <c:pt idx="13">
                  <c:v>0.61992337164750966</c:v>
                </c:pt>
                <c:pt idx="14">
                  <c:v>0.68505747126436789</c:v>
                </c:pt>
                <c:pt idx="15">
                  <c:v>0.76551724137931043</c:v>
                </c:pt>
                <c:pt idx="16">
                  <c:v>0.84597701149425286</c:v>
                </c:pt>
                <c:pt idx="17">
                  <c:v>0.87356321839080464</c:v>
                </c:pt>
                <c:pt idx="18">
                  <c:v>0.94636015325670497</c:v>
                </c:pt>
                <c:pt idx="19">
                  <c:v>0.96168582375478928</c:v>
                </c:pt>
                <c:pt idx="20">
                  <c:v>0.98084291187739459</c:v>
                </c:pt>
                <c:pt idx="21">
                  <c:v>1</c:v>
                </c:pt>
              </c:numCache>
            </c:numRef>
          </c:val>
          <c:smooth val="0"/>
          <c:extLst>
            <c:ext xmlns:c16="http://schemas.microsoft.com/office/drawing/2014/chart" uri="{C3380CC4-5D6E-409C-BE32-E72D297353CC}">
              <c16:uniqueId val="{00000000-BB75-4E43-8082-8768EE89BBED}"/>
            </c:ext>
          </c:extLst>
        </c:ser>
        <c:ser>
          <c:idx val="1"/>
          <c:order val="1"/>
          <c:tx>
            <c:strRef>
              <c:f>AnalysisReport!$I$6</c:f>
              <c:strCache>
                <c:ptCount val="1"/>
                <c:pt idx="0">
                  <c:v>실적기성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AnalysisReport!$I$7:$I$28</c:f>
              <c:numCache>
                <c:formatCode>0.00%</c:formatCode>
                <c:ptCount val="22"/>
                <c:pt idx="0">
                  <c:v>1.532567049808429E-2</c:v>
                </c:pt>
                <c:pt idx="1">
                  <c:v>5.7471264367816091E-2</c:v>
                </c:pt>
                <c:pt idx="2">
                  <c:v>0.11923371647509579</c:v>
                </c:pt>
                <c:pt idx="3">
                  <c:v>0.14222222222222225</c:v>
                </c:pt>
              </c:numCache>
            </c:numRef>
          </c:val>
          <c:smooth val="0"/>
          <c:extLst>
            <c:ext xmlns:c16="http://schemas.microsoft.com/office/drawing/2014/chart" uri="{C3380CC4-5D6E-409C-BE32-E72D297353CC}">
              <c16:uniqueId val="{00000001-BB75-4E43-8082-8768EE89BBED}"/>
            </c:ext>
          </c:extLst>
        </c:ser>
        <c:ser>
          <c:idx val="2"/>
          <c:order val="2"/>
          <c:tx>
            <c:strRef>
              <c:f>AnalysisReport!$L$6</c:f>
              <c:strCache>
                <c:ptCount val="1"/>
                <c:pt idx="0">
                  <c:v>실제작업량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AnalysisReport!$L$7:$L$28</c:f>
              <c:numCache>
                <c:formatCode>0.00%</c:formatCode>
                <c:ptCount val="22"/>
                <c:pt idx="0">
                  <c:v>0</c:v>
                </c:pt>
                <c:pt idx="1">
                  <c:v>0</c:v>
                </c:pt>
                <c:pt idx="2">
                  <c:v>0</c:v>
                </c:pt>
                <c:pt idx="3">
                  <c:v>0</c:v>
                </c:pt>
              </c:numCache>
            </c:numRef>
          </c:val>
          <c:smooth val="0"/>
          <c:extLst>
            <c:ext xmlns:c16="http://schemas.microsoft.com/office/drawing/2014/chart" uri="{C3380CC4-5D6E-409C-BE32-E72D297353CC}">
              <c16:uniqueId val="{00000002-BB75-4E43-8082-8768EE89BBED}"/>
            </c:ext>
          </c:extLst>
        </c:ser>
        <c:dLbls>
          <c:showLegendKey val="0"/>
          <c:showVal val="0"/>
          <c:showCatName val="0"/>
          <c:showSerName val="0"/>
          <c:showPercent val="0"/>
          <c:showBubbleSize val="0"/>
        </c:dLbls>
        <c:marker val="1"/>
        <c:smooth val="0"/>
        <c:axId val="411346591"/>
        <c:axId val="284004575"/>
      </c:lineChart>
      <c:dateAx>
        <c:axId val="411346591"/>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284004575"/>
        <c:crosses val="autoZero"/>
        <c:auto val="1"/>
        <c:lblOffset val="100"/>
        <c:baseTimeUnit val="days"/>
      </c:dateAx>
      <c:valAx>
        <c:axId val="284004575"/>
        <c:scaling>
          <c:orientation val="minMax"/>
        </c:scaling>
        <c:delete val="0"/>
        <c:axPos val="l"/>
        <c:majorGridlines/>
        <c:numFmt formatCode="0.00%" sourceLinked="1"/>
        <c:majorTickMark val="out"/>
        <c:minorTickMark val="none"/>
        <c:tickLblPos val="nextTo"/>
        <c:crossAx val="41134659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xdr:colOff>
      <xdr:row>3</xdr:row>
      <xdr:rowOff>76073</xdr:rowOff>
    </xdr:from>
    <xdr:to>
      <xdr:col>59</xdr:col>
      <xdr:colOff>1</xdr:colOff>
      <xdr:row>55</xdr:row>
      <xdr:rowOff>0</xdr:rowOff>
    </xdr:to>
    <xdr:cxnSp macro="">
      <xdr:nvCxnSpPr>
        <xdr:cNvPr id="3779" name="직선 화살표 연결선 3778">
          <a:extLst>
            <a:ext uri="{FF2B5EF4-FFF2-40B4-BE49-F238E27FC236}">
              <a16:creationId xmlns:a16="http://schemas.microsoft.com/office/drawing/2014/main" id="{32982002-50FA-4F54-AD5D-7D8A7A64BF91}"/>
            </a:ext>
          </a:extLst>
        </xdr:cNvPr>
        <xdr:cNvCxnSpPr/>
      </xdr:nvCxnSpPr>
      <xdr:spPr>
        <a:xfrm>
          <a:off x="31935421" y="754253"/>
          <a:ext cx="0" cy="778776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1</xdr:colOff>
      <xdr:row>3</xdr:row>
      <xdr:rowOff>76073</xdr:rowOff>
    </xdr:from>
    <xdr:to>
      <xdr:col>87</xdr:col>
      <xdr:colOff>1</xdr:colOff>
      <xdr:row>55</xdr:row>
      <xdr:rowOff>0</xdr:rowOff>
    </xdr:to>
    <xdr:cxnSp macro="">
      <xdr:nvCxnSpPr>
        <xdr:cNvPr id="3780" name="직선 화살표 연결선 3779">
          <a:extLst>
            <a:ext uri="{FF2B5EF4-FFF2-40B4-BE49-F238E27FC236}">
              <a16:creationId xmlns:a16="http://schemas.microsoft.com/office/drawing/2014/main" id="{20A4120F-B45D-41EF-ABE6-8F4115305E83}"/>
            </a:ext>
          </a:extLst>
        </xdr:cNvPr>
        <xdr:cNvCxnSpPr/>
      </xdr:nvCxnSpPr>
      <xdr:spPr>
        <a:xfrm>
          <a:off x="53271421" y="754253"/>
          <a:ext cx="0" cy="778776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115</xdr:col>
      <xdr:colOff>1</xdr:colOff>
      <xdr:row>3</xdr:row>
      <xdr:rowOff>76073</xdr:rowOff>
    </xdr:from>
    <xdr:to>
      <xdr:col>115</xdr:col>
      <xdr:colOff>1</xdr:colOff>
      <xdr:row>55</xdr:row>
      <xdr:rowOff>0</xdr:rowOff>
    </xdr:to>
    <xdr:cxnSp macro="">
      <xdr:nvCxnSpPr>
        <xdr:cNvPr id="3781" name="직선 화살표 연결선 3780">
          <a:extLst>
            <a:ext uri="{FF2B5EF4-FFF2-40B4-BE49-F238E27FC236}">
              <a16:creationId xmlns:a16="http://schemas.microsoft.com/office/drawing/2014/main" id="{EAC7A074-3C1D-45B8-8F58-39971D177200}"/>
            </a:ext>
          </a:extLst>
        </xdr:cNvPr>
        <xdr:cNvCxnSpPr/>
      </xdr:nvCxnSpPr>
      <xdr:spPr>
        <a:xfrm>
          <a:off x="74607421" y="754253"/>
          <a:ext cx="0" cy="778776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60959</xdr:colOff>
      <xdr:row>3</xdr:row>
      <xdr:rowOff>76073</xdr:rowOff>
    </xdr:from>
    <xdr:to>
      <xdr:col>102</xdr:col>
      <xdr:colOff>60959</xdr:colOff>
      <xdr:row>55</xdr:row>
      <xdr:rowOff>0</xdr:rowOff>
    </xdr:to>
    <xdr:cxnSp macro="">
      <xdr:nvCxnSpPr>
        <xdr:cNvPr id="3782" name="직선 화살표 연결선 3781">
          <a:extLst>
            <a:ext uri="{FF2B5EF4-FFF2-40B4-BE49-F238E27FC236}">
              <a16:creationId xmlns:a16="http://schemas.microsoft.com/office/drawing/2014/main" id="{748B492A-9120-4D11-B00E-5A891E532C40}"/>
            </a:ext>
          </a:extLst>
        </xdr:cNvPr>
        <xdr:cNvCxnSpPr/>
      </xdr:nvCxnSpPr>
      <xdr:spPr>
        <a:xfrm>
          <a:off x="14988539" y="754253"/>
          <a:ext cx="0" cy="778776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122</xdr:col>
      <xdr:colOff>60959</xdr:colOff>
      <xdr:row>54</xdr:row>
      <xdr:rowOff>19050</xdr:rowOff>
    </xdr:from>
    <xdr:to>
      <xdr:col>124</xdr:col>
      <xdr:colOff>1270</xdr:colOff>
      <xdr:row>54</xdr:row>
      <xdr:rowOff>133350</xdr:rowOff>
    </xdr:to>
    <xdr:sp macro="" textlink="">
      <xdr:nvSpPr>
        <xdr:cNvPr id="3783" name="51">
          <a:extLst>
            <a:ext uri="{FF2B5EF4-FFF2-40B4-BE49-F238E27FC236}">
              <a16:creationId xmlns:a16="http://schemas.microsoft.com/office/drawing/2014/main" id="{13528012-3C7B-4166-B095-EEBC94747D82}"/>
            </a:ext>
          </a:extLst>
        </xdr:cNvPr>
        <xdr:cNvSpPr/>
      </xdr:nvSpPr>
      <xdr:spPr>
        <a:xfrm>
          <a:off x="16207739" y="8408670"/>
          <a:ext cx="62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122</xdr:col>
      <xdr:colOff>60959</xdr:colOff>
      <xdr:row>54</xdr:row>
      <xdr:rowOff>76200</xdr:rowOff>
    </xdr:from>
    <xdr:to>
      <xdr:col>122</xdr:col>
      <xdr:colOff>60959</xdr:colOff>
      <xdr:row>54</xdr:row>
      <xdr:rowOff>76200</xdr:rowOff>
    </xdr:to>
    <xdr:cxnSp macro="">
      <xdr:nvCxnSpPr>
        <xdr:cNvPr id="3784" name="직선 화살표 연결선 3783">
          <a:extLst>
            <a:ext uri="{FF2B5EF4-FFF2-40B4-BE49-F238E27FC236}">
              <a16:creationId xmlns:a16="http://schemas.microsoft.com/office/drawing/2014/main" id="{8317E26F-A719-4E83-A139-7279FE9C8C56}"/>
            </a:ext>
          </a:extLst>
        </xdr:cNvPr>
        <xdr:cNvCxnSpPr/>
      </xdr:nvCxnSpPr>
      <xdr:spPr>
        <a:xfrm>
          <a:off x="16207739" y="84658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122</xdr:col>
      <xdr:colOff>60959</xdr:colOff>
      <xdr:row>53</xdr:row>
      <xdr:rowOff>19050</xdr:rowOff>
    </xdr:from>
    <xdr:to>
      <xdr:col>124</xdr:col>
      <xdr:colOff>1270</xdr:colOff>
      <xdr:row>53</xdr:row>
      <xdr:rowOff>133350</xdr:rowOff>
    </xdr:to>
    <xdr:sp macro="" textlink="">
      <xdr:nvSpPr>
        <xdr:cNvPr id="3785" name="50">
          <a:extLst>
            <a:ext uri="{FF2B5EF4-FFF2-40B4-BE49-F238E27FC236}">
              <a16:creationId xmlns:a16="http://schemas.microsoft.com/office/drawing/2014/main" id="{4751697C-30ED-4522-8DB2-DE055019FEF7}"/>
            </a:ext>
          </a:extLst>
        </xdr:cNvPr>
        <xdr:cNvSpPr/>
      </xdr:nvSpPr>
      <xdr:spPr>
        <a:xfrm>
          <a:off x="16207739" y="8256270"/>
          <a:ext cx="62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122</xdr:col>
      <xdr:colOff>60959</xdr:colOff>
      <xdr:row>53</xdr:row>
      <xdr:rowOff>76200</xdr:rowOff>
    </xdr:from>
    <xdr:to>
      <xdr:col>122</xdr:col>
      <xdr:colOff>60959</xdr:colOff>
      <xdr:row>53</xdr:row>
      <xdr:rowOff>76200</xdr:rowOff>
    </xdr:to>
    <xdr:cxnSp macro="">
      <xdr:nvCxnSpPr>
        <xdr:cNvPr id="3786" name="직선 화살표 연결선 3785">
          <a:extLst>
            <a:ext uri="{FF2B5EF4-FFF2-40B4-BE49-F238E27FC236}">
              <a16:creationId xmlns:a16="http://schemas.microsoft.com/office/drawing/2014/main" id="{DB112EE8-817A-4245-B644-84E024C6694D}"/>
            </a:ext>
          </a:extLst>
        </xdr:cNvPr>
        <xdr:cNvCxnSpPr/>
      </xdr:nvCxnSpPr>
      <xdr:spPr>
        <a:xfrm>
          <a:off x="16207739" y="83134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122</xdr:col>
      <xdr:colOff>60959</xdr:colOff>
      <xdr:row>52</xdr:row>
      <xdr:rowOff>19050</xdr:rowOff>
    </xdr:from>
    <xdr:to>
      <xdr:col>124</xdr:col>
      <xdr:colOff>1270</xdr:colOff>
      <xdr:row>52</xdr:row>
      <xdr:rowOff>133350</xdr:rowOff>
    </xdr:to>
    <xdr:sp macro="" textlink="">
      <xdr:nvSpPr>
        <xdr:cNvPr id="3787" name="49">
          <a:extLst>
            <a:ext uri="{FF2B5EF4-FFF2-40B4-BE49-F238E27FC236}">
              <a16:creationId xmlns:a16="http://schemas.microsoft.com/office/drawing/2014/main" id="{C85D070B-5114-4407-AEFC-D9854914E3B5}"/>
            </a:ext>
          </a:extLst>
        </xdr:cNvPr>
        <xdr:cNvSpPr/>
      </xdr:nvSpPr>
      <xdr:spPr>
        <a:xfrm>
          <a:off x="16207739" y="8103870"/>
          <a:ext cx="622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122</xdr:col>
      <xdr:colOff>60959</xdr:colOff>
      <xdr:row>52</xdr:row>
      <xdr:rowOff>76200</xdr:rowOff>
    </xdr:from>
    <xdr:to>
      <xdr:col>122</xdr:col>
      <xdr:colOff>60959</xdr:colOff>
      <xdr:row>52</xdr:row>
      <xdr:rowOff>76200</xdr:rowOff>
    </xdr:to>
    <xdr:cxnSp macro="">
      <xdr:nvCxnSpPr>
        <xdr:cNvPr id="3788" name="직선 화살표 연결선 3787">
          <a:extLst>
            <a:ext uri="{FF2B5EF4-FFF2-40B4-BE49-F238E27FC236}">
              <a16:creationId xmlns:a16="http://schemas.microsoft.com/office/drawing/2014/main" id="{9167089A-560B-4419-91A6-759CDE2FD9F0}"/>
            </a:ext>
          </a:extLst>
        </xdr:cNvPr>
        <xdr:cNvCxnSpPr/>
      </xdr:nvCxnSpPr>
      <xdr:spPr>
        <a:xfrm>
          <a:off x="16207739" y="81610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114</xdr:col>
      <xdr:colOff>0</xdr:colOff>
      <xdr:row>51</xdr:row>
      <xdr:rowOff>19050</xdr:rowOff>
    </xdr:from>
    <xdr:to>
      <xdr:col>115</xdr:col>
      <xdr:colOff>1270</xdr:colOff>
      <xdr:row>51</xdr:row>
      <xdr:rowOff>133350</xdr:rowOff>
    </xdr:to>
    <xdr:sp macro="" textlink="">
      <xdr:nvSpPr>
        <xdr:cNvPr id="3789" name="48">
          <a:extLst>
            <a:ext uri="{FF2B5EF4-FFF2-40B4-BE49-F238E27FC236}">
              <a16:creationId xmlns:a16="http://schemas.microsoft.com/office/drawing/2014/main" id="{B07BB141-3DA7-4E7C-8854-EB5D868D7247}"/>
            </a:ext>
          </a:extLst>
        </xdr:cNvPr>
        <xdr:cNvSpPr/>
      </xdr:nvSpPr>
      <xdr:spPr>
        <a:xfrm>
          <a:off x="15659100" y="795147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114</xdr:col>
      <xdr:colOff>0</xdr:colOff>
      <xdr:row>51</xdr:row>
      <xdr:rowOff>76200</xdr:rowOff>
    </xdr:from>
    <xdr:to>
      <xdr:col>114</xdr:col>
      <xdr:colOff>0</xdr:colOff>
      <xdr:row>51</xdr:row>
      <xdr:rowOff>76200</xdr:rowOff>
    </xdr:to>
    <xdr:cxnSp macro="">
      <xdr:nvCxnSpPr>
        <xdr:cNvPr id="3790" name="직선 화살표 연결선 3789">
          <a:extLst>
            <a:ext uri="{FF2B5EF4-FFF2-40B4-BE49-F238E27FC236}">
              <a16:creationId xmlns:a16="http://schemas.microsoft.com/office/drawing/2014/main" id="{0207047B-587E-4183-B84F-04C45AC782BF}"/>
            </a:ext>
          </a:extLst>
        </xdr:cNvPr>
        <xdr:cNvCxnSpPr/>
      </xdr:nvCxnSpPr>
      <xdr:spPr>
        <a:xfrm>
          <a:off x="15659100" y="80086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114</xdr:col>
      <xdr:colOff>0</xdr:colOff>
      <xdr:row>50</xdr:row>
      <xdr:rowOff>19050</xdr:rowOff>
    </xdr:from>
    <xdr:to>
      <xdr:col>115</xdr:col>
      <xdr:colOff>1270</xdr:colOff>
      <xdr:row>50</xdr:row>
      <xdr:rowOff>133350</xdr:rowOff>
    </xdr:to>
    <xdr:sp macro="" textlink="">
      <xdr:nvSpPr>
        <xdr:cNvPr id="3791" name="47">
          <a:extLst>
            <a:ext uri="{FF2B5EF4-FFF2-40B4-BE49-F238E27FC236}">
              <a16:creationId xmlns:a16="http://schemas.microsoft.com/office/drawing/2014/main" id="{75675BD5-51C9-4B70-BB7E-122E25577A86}"/>
            </a:ext>
          </a:extLst>
        </xdr:cNvPr>
        <xdr:cNvSpPr/>
      </xdr:nvSpPr>
      <xdr:spPr>
        <a:xfrm>
          <a:off x="15659100" y="779907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114</xdr:col>
      <xdr:colOff>0</xdr:colOff>
      <xdr:row>50</xdr:row>
      <xdr:rowOff>76200</xdr:rowOff>
    </xdr:from>
    <xdr:to>
      <xdr:col>114</xdr:col>
      <xdr:colOff>0</xdr:colOff>
      <xdr:row>50</xdr:row>
      <xdr:rowOff>76200</xdr:rowOff>
    </xdr:to>
    <xdr:cxnSp macro="">
      <xdr:nvCxnSpPr>
        <xdr:cNvPr id="3792" name="직선 화살표 연결선 3791">
          <a:extLst>
            <a:ext uri="{FF2B5EF4-FFF2-40B4-BE49-F238E27FC236}">
              <a16:creationId xmlns:a16="http://schemas.microsoft.com/office/drawing/2014/main" id="{203558DA-B8CA-487C-8975-EAB7D1CDAFE3}"/>
            </a:ext>
          </a:extLst>
        </xdr:cNvPr>
        <xdr:cNvCxnSpPr/>
      </xdr:nvCxnSpPr>
      <xdr:spPr>
        <a:xfrm>
          <a:off x="15659100" y="78562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114</xdr:col>
      <xdr:colOff>0</xdr:colOff>
      <xdr:row>49</xdr:row>
      <xdr:rowOff>19050</xdr:rowOff>
    </xdr:from>
    <xdr:to>
      <xdr:col>115</xdr:col>
      <xdr:colOff>1270</xdr:colOff>
      <xdr:row>49</xdr:row>
      <xdr:rowOff>133350</xdr:rowOff>
    </xdr:to>
    <xdr:sp macro="" textlink="">
      <xdr:nvSpPr>
        <xdr:cNvPr id="3793" name="46">
          <a:extLst>
            <a:ext uri="{FF2B5EF4-FFF2-40B4-BE49-F238E27FC236}">
              <a16:creationId xmlns:a16="http://schemas.microsoft.com/office/drawing/2014/main" id="{8BEEFBC5-9987-4119-98E6-C70586FDF25F}"/>
            </a:ext>
          </a:extLst>
        </xdr:cNvPr>
        <xdr:cNvSpPr/>
      </xdr:nvSpPr>
      <xdr:spPr>
        <a:xfrm>
          <a:off x="15659100" y="7646670"/>
          <a:ext cx="6223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114</xdr:col>
      <xdr:colOff>0</xdr:colOff>
      <xdr:row>49</xdr:row>
      <xdr:rowOff>76200</xdr:rowOff>
    </xdr:from>
    <xdr:to>
      <xdr:col>114</xdr:col>
      <xdr:colOff>0</xdr:colOff>
      <xdr:row>49</xdr:row>
      <xdr:rowOff>76200</xdr:rowOff>
    </xdr:to>
    <xdr:cxnSp macro="">
      <xdr:nvCxnSpPr>
        <xdr:cNvPr id="3794" name="직선 화살표 연결선 3793">
          <a:extLst>
            <a:ext uri="{FF2B5EF4-FFF2-40B4-BE49-F238E27FC236}">
              <a16:creationId xmlns:a16="http://schemas.microsoft.com/office/drawing/2014/main" id="{77F28A16-AA39-41E6-A140-E52040352050}"/>
            </a:ext>
          </a:extLst>
        </xdr:cNvPr>
        <xdr:cNvCxnSpPr/>
      </xdr:nvCxnSpPr>
      <xdr:spPr>
        <a:xfrm>
          <a:off x="15659100" y="77038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60959</xdr:colOff>
      <xdr:row>48</xdr:row>
      <xdr:rowOff>19050</xdr:rowOff>
    </xdr:from>
    <xdr:to>
      <xdr:col>115</xdr:col>
      <xdr:colOff>1270</xdr:colOff>
      <xdr:row>48</xdr:row>
      <xdr:rowOff>133350</xdr:rowOff>
    </xdr:to>
    <xdr:sp macro="" textlink="">
      <xdr:nvSpPr>
        <xdr:cNvPr id="3795" name="45">
          <a:extLst>
            <a:ext uri="{FF2B5EF4-FFF2-40B4-BE49-F238E27FC236}">
              <a16:creationId xmlns:a16="http://schemas.microsoft.com/office/drawing/2014/main" id="{C6D284A2-9286-4106-A65F-A513E4B9D3B1}"/>
            </a:ext>
          </a:extLst>
        </xdr:cNvPr>
        <xdr:cNvSpPr/>
      </xdr:nvSpPr>
      <xdr:spPr>
        <a:xfrm>
          <a:off x="14988539" y="7494270"/>
          <a:ext cx="7327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60959</xdr:colOff>
      <xdr:row>48</xdr:row>
      <xdr:rowOff>76200</xdr:rowOff>
    </xdr:from>
    <xdr:to>
      <xdr:col>102</xdr:col>
      <xdr:colOff>60959</xdr:colOff>
      <xdr:row>48</xdr:row>
      <xdr:rowOff>76200</xdr:rowOff>
    </xdr:to>
    <xdr:cxnSp macro="">
      <xdr:nvCxnSpPr>
        <xdr:cNvPr id="3796" name="직선 화살표 연결선 3795">
          <a:extLst>
            <a:ext uri="{FF2B5EF4-FFF2-40B4-BE49-F238E27FC236}">
              <a16:creationId xmlns:a16="http://schemas.microsoft.com/office/drawing/2014/main" id="{9FBED213-2F40-495A-8F0D-0EDC68D5FBC1}"/>
            </a:ext>
          </a:extLst>
        </xdr:cNvPr>
        <xdr:cNvCxnSpPr/>
      </xdr:nvCxnSpPr>
      <xdr:spPr>
        <a:xfrm>
          <a:off x="14988539" y="75514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60959</xdr:colOff>
      <xdr:row>47</xdr:row>
      <xdr:rowOff>19050</xdr:rowOff>
    </xdr:from>
    <xdr:to>
      <xdr:col>115</xdr:col>
      <xdr:colOff>1270</xdr:colOff>
      <xdr:row>47</xdr:row>
      <xdr:rowOff>133350</xdr:rowOff>
    </xdr:to>
    <xdr:sp macro="" textlink="">
      <xdr:nvSpPr>
        <xdr:cNvPr id="3797" name="44">
          <a:extLst>
            <a:ext uri="{FF2B5EF4-FFF2-40B4-BE49-F238E27FC236}">
              <a16:creationId xmlns:a16="http://schemas.microsoft.com/office/drawing/2014/main" id="{CE271C65-7E01-482B-A7BC-0FB55969A013}"/>
            </a:ext>
          </a:extLst>
        </xdr:cNvPr>
        <xdr:cNvSpPr/>
      </xdr:nvSpPr>
      <xdr:spPr>
        <a:xfrm>
          <a:off x="14988539" y="7341870"/>
          <a:ext cx="7327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60959</xdr:colOff>
      <xdr:row>47</xdr:row>
      <xdr:rowOff>76200</xdr:rowOff>
    </xdr:from>
    <xdr:to>
      <xdr:col>102</xdr:col>
      <xdr:colOff>60959</xdr:colOff>
      <xdr:row>47</xdr:row>
      <xdr:rowOff>76200</xdr:rowOff>
    </xdr:to>
    <xdr:cxnSp macro="">
      <xdr:nvCxnSpPr>
        <xdr:cNvPr id="3798" name="직선 화살표 연결선 3797">
          <a:extLst>
            <a:ext uri="{FF2B5EF4-FFF2-40B4-BE49-F238E27FC236}">
              <a16:creationId xmlns:a16="http://schemas.microsoft.com/office/drawing/2014/main" id="{747A56A6-6002-4014-AAF1-0D2C14C0FE7A}"/>
            </a:ext>
          </a:extLst>
        </xdr:cNvPr>
        <xdr:cNvCxnSpPr/>
      </xdr:nvCxnSpPr>
      <xdr:spPr>
        <a:xfrm>
          <a:off x="14988539" y="73990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60959</xdr:colOff>
      <xdr:row>46</xdr:row>
      <xdr:rowOff>19050</xdr:rowOff>
    </xdr:from>
    <xdr:to>
      <xdr:col>115</xdr:col>
      <xdr:colOff>1270</xdr:colOff>
      <xdr:row>46</xdr:row>
      <xdr:rowOff>133350</xdr:rowOff>
    </xdr:to>
    <xdr:sp macro="" textlink="">
      <xdr:nvSpPr>
        <xdr:cNvPr id="3799" name="43">
          <a:extLst>
            <a:ext uri="{FF2B5EF4-FFF2-40B4-BE49-F238E27FC236}">
              <a16:creationId xmlns:a16="http://schemas.microsoft.com/office/drawing/2014/main" id="{90BD5FC4-30CA-4ABA-BF12-816F294FDC42}"/>
            </a:ext>
          </a:extLst>
        </xdr:cNvPr>
        <xdr:cNvSpPr/>
      </xdr:nvSpPr>
      <xdr:spPr>
        <a:xfrm>
          <a:off x="14988539" y="7189470"/>
          <a:ext cx="7327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60959</xdr:colOff>
      <xdr:row>46</xdr:row>
      <xdr:rowOff>76200</xdr:rowOff>
    </xdr:from>
    <xdr:to>
      <xdr:col>102</xdr:col>
      <xdr:colOff>60959</xdr:colOff>
      <xdr:row>46</xdr:row>
      <xdr:rowOff>76200</xdr:rowOff>
    </xdr:to>
    <xdr:cxnSp macro="">
      <xdr:nvCxnSpPr>
        <xdr:cNvPr id="3800" name="직선 화살표 연결선 3799">
          <a:extLst>
            <a:ext uri="{FF2B5EF4-FFF2-40B4-BE49-F238E27FC236}">
              <a16:creationId xmlns:a16="http://schemas.microsoft.com/office/drawing/2014/main" id="{3ADB4B9D-71F2-40A8-9009-944545AAFD52}"/>
            </a:ext>
          </a:extLst>
        </xdr:cNvPr>
        <xdr:cNvCxnSpPr/>
      </xdr:nvCxnSpPr>
      <xdr:spPr>
        <a:xfrm>
          <a:off x="14988539" y="72466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60959</xdr:colOff>
      <xdr:row>45</xdr:row>
      <xdr:rowOff>19050</xdr:rowOff>
    </xdr:from>
    <xdr:to>
      <xdr:col>115</xdr:col>
      <xdr:colOff>1270</xdr:colOff>
      <xdr:row>45</xdr:row>
      <xdr:rowOff>133350</xdr:rowOff>
    </xdr:to>
    <xdr:sp macro="" textlink="">
      <xdr:nvSpPr>
        <xdr:cNvPr id="3801" name="42">
          <a:extLst>
            <a:ext uri="{FF2B5EF4-FFF2-40B4-BE49-F238E27FC236}">
              <a16:creationId xmlns:a16="http://schemas.microsoft.com/office/drawing/2014/main" id="{44646A55-2F94-4A1A-B5EB-4ECCDF701A76}"/>
            </a:ext>
          </a:extLst>
        </xdr:cNvPr>
        <xdr:cNvSpPr/>
      </xdr:nvSpPr>
      <xdr:spPr>
        <a:xfrm>
          <a:off x="14988539" y="7037070"/>
          <a:ext cx="7327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60959</xdr:colOff>
      <xdr:row>45</xdr:row>
      <xdr:rowOff>76200</xdr:rowOff>
    </xdr:from>
    <xdr:to>
      <xdr:col>102</xdr:col>
      <xdr:colOff>60959</xdr:colOff>
      <xdr:row>45</xdr:row>
      <xdr:rowOff>76200</xdr:rowOff>
    </xdr:to>
    <xdr:cxnSp macro="">
      <xdr:nvCxnSpPr>
        <xdr:cNvPr id="3802" name="직선 화살표 연결선 3801">
          <a:extLst>
            <a:ext uri="{FF2B5EF4-FFF2-40B4-BE49-F238E27FC236}">
              <a16:creationId xmlns:a16="http://schemas.microsoft.com/office/drawing/2014/main" id="{2A378806-6CCF-4D49-B056-0E88DCF9E9AD}"/>
            </a:ext>
          </a:extLst>
        </xdr:cNvPr>
        <xdr:cNvCxnSpPr/>
      </xdr:nvCxnSpPr>
      <xdr:spPr>
        <a:xfrm>
          <a:off x="14988539" y="70942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60959</xdr:colOff>
      <xdr:row>44</xdr:row>
      <xdr:rowOff>19050</xdr:rowOff>
    </xdr:from>
    <xdr:to>
      <xdr:col>115</xdr:col>
      <xdr:colOff>1270</xdr:colOff>
      <xdr:row>44</xdr:row>
      <xdr:rowOff>133350</xdr:rowOff>
    </xdr:to>
    <xdr:sp macro="" textlink="">
      <xdr:nvSpPr>
        <xdr:cNvPr id="3803" name="41">
          <a:extLst>
            <a:ext uri="{FF2B5EF4-FFF2-40B4-BE49-F238E27FC236}">
              <a16:creationId xmlns:a16="http://schemas.microsoft.com/office/drawing/2014/main" id="{6D306659-5C67-440D-BC8E-00D031740E1A}"/>
            </a:ext>
          </a:extLst>
        </xdr:cNvPr>
        <xdr:cNvSpPr/>
      </xdr:nvSpPr>
      <xdr:spPr>
        <a:xfrm>
          <a:off x="14988539" y="6884670"/>
          <a:ext cx="7327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60959</xdr:colOff>
      <xdr:row>44</xdr:row>
      <xdr:rowOff>76200</xdr:rowOff>
    </xdr:from>
    <xdr:to>
      <xdr:col>102</xdr:col>
      <xdr:colOff>60959</xdr:colOff>
      <xdr:row>44</xdr:row>
      <xdr:rowOff>76200</xdr:rowOff>
    </xdr:to>
    <xdr:cxnSp macro="">
      <xdr:nvCxnSpPr>
        <xdr:cNvPr id="3804" name="직선 화살표 연결선 3803">
          <a:extLst>
            <a:ext uri="{FF2B5EF4-FFF2-40B4-BE49-F238E27FC236}">
              <a16:creationId xmlns:a16="http://schemas.microsoft.com/office/drawing/2014/main" id="{BDCBB0CA-46C1-4A77-8536-53F6E06763FF}"/>
            </a:ext>
          </a:extLst>
        </xdr:cNvPr>
        <xdr:cNvCxnSpPr/>
      </xdr:nvCxnSpPr>
      <xdr:spPr>
        <a:xfrm>
          <a:off x="14988539" y="69418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0</xdr:colOff>
      <xdr:row>43</xdr:row>
      <xdr:rowOff>19050</xdr:rowOff>
    </xdr:from>
    <xdr:to>
      <xdr:col>103</xdr:col>
      <xdr:colOff>1269</xdr:colOff>
      <xdr:row>43</xdr:row>
      <xdr:rowOff>133350</xdr:rowOff>
    </xdr:to>
    <xdr:sp macro="" textlink="">
      <xdr:nvSpPr>
        <xdr:cNvPr id="3805" name="40">
          <a:extLst>
            <a:ext uri="{FF2B5EF4-FFF2-40B4-BE49-F238E27FC236}">
              <a16:creationId xmlns:a16="http://schemas.microsoft.com/office/drawing/2014/main" id="{52C51D9E-5DC2-4DCD-83A4-D6A8844A27C3}"/>
            </a:ext>
          </a:extLst>
        </xdr:cNvPr>
        <xdr:cNvSpPr/>
      </xdr:nvSpPr>
      <xdr:spPr>
        <a:xfrm>
          <a:off x="14927580" y="6732270"/>
          <a:ext cx="622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0</xdr:colOff>
      <xdr:row>43</xdr:row>
      <xdr:rowOff>76200</xdr:rowOff>
    </xdr:from>
    <xdr:to>
      <xdr:col>102</xdr:col>
      <xdr:colOff>60959</xdr:colOff>
      <xdr:row>43</xdr:row>
      <xdr:rowOff>76200</xdr:rowOff>
    </xdr:to>
    <xdr:cxnSp macro="">
      <xdr:nvCxnSpPr>
        <xdr:cNvPr id="3806" name="직선 화살표 연결선 3805">
          <a:extLst>
            <a:ext uri="{FF2B5EF4-FFF2-40B4-BE49-F238E27FC236}">
              <a16:creationId xmlns:a16="http://schemas.microsoft.com/office/drawing/2014/main" id="{E7F45584-62CC-4235-BE6C-06E04EDC27C0}"/>
            </a:ext>
          </a:extLst>
        </xdr:cNvPr>
        <xdr:cNvCxnSpPr/>
      </xdr:nvCxnSpPr>
      <xdr:spPr>
        <a:xfrm>
          <a:off x="14927580" y="6789420"/>
          <a:ext cx="6095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0</xdr:colOff>
      <xdr:row>42</xdr:row>
      <xdr:rowOff>19050</xdr:rowOff>
    </xdr:from>
    <xdr:to>
      <xdr:col>103</xdr:col>
      <xdr:colOff>1269</xdr:colOff>
      <xdr:row>42</xdr:row>
      <xdr:rowOff>133350</xdr:rowOff>
    </xdr:to>
    <xdr:sp macro="" textlink="">
      <xdr:nvSpPr>
        <xdr:cNvPr id="3807" name="39">
          <a:extLst>
            <a:ext uri="{FF2B5EF4-FFF2-40B4-BE49-F238E27FC236}">
              <a16:creationId xmlns:a16="http://schemas.microsoft.com/office/drawing/2014/main" id="{AAE1A807-3E7E-4729-8089-71D85CFA8A94}"/>
            </a:ext>
          </a:extLst>
        </xdr:cNvPr>
        <xdr:cNvSpPr/>
      </xdr:nvSpPr>
      <xdr:spPr>
        <a:xfrm>
          <a:off x="14927580" y="6579870"/>
          <a:ext cx="622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0</xdr:colOff>
      <xdr:row>42</xdr:row>
      <xdr:rowOff>76200</xdr:rowOff>
    </xdr:from>
    <xdr:to>
      <xdr:col>102</xdr:col>
      <xdr:colOff>30481</xdr:colOff>
      <xdr:row>42</xdr:row>
      <xdr:rowOff>76200</xdr:rowOff>
    </xdr:to>
    <xdr:cxnSp macro="">
      <xdr:nvCxnSpPr>
        <xdr:cNvPr id="3808" name="직선 화살표 연결선 3807">
          <a:extLst>
            <a:ext uri="{FF2B5EF4-FFF2-40B4-BE49-F238E27FC236}">
              <a16:creationId xmlns:a16="http://schemas.microsoft.com/office/drawing/2014/main" id="{0E8BA159-36BC-4202-A6D3-A664A3C4E70B}"/>
            </a:ext>
          </a:extLst>
        </xdr:cNvPr>
        <xdr:cNvCxnSpPr/>
      </xdr:nvCxnSpPr>
      <xdr:spPr>
        <a:xfrm>
          <a:off x="14927580" y="6637020"/>
          <a:ext cx="304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0</xdr:colOff>
      <xdr:row>41</xdr:row>
      <xdr:rowOff>19050</xdr:rowOff>
    </xdr:from>
    <xdr:to>
      <xdr:col>103</xdr:col>
      <xdr:colOff>1269</xdr:colOff>
      <xdr:row>41</xdr:row>
      <xdr:rowOff>133350</xdr:rowOff>
    </xdr:to>
    <xdr:sp macro="" textlink="">
      <xdr:nvSpPr>
        <xdr:cNvPr id="3809" name="38">
          <a:extLst>
            <a:ext uri="{FF2B5EF4-FFF2-40B4-BE49-F238E27FC236}">
              <a16:creationId xmlns:a16="http://schemas.microsoft.com/office/drawing/2014/main" id="{9F11BA56-5F22-4EDF-BD0B-3ABD1FCDB411}"/>
            </a:ext>
          </a:extLst>
        </xdr:cNvPr>
        <xdr:cNvSpPr/>
      </xdr:nvSpPr>
      <xdr:spPr>
        <a:xfrm>
          <a:off x="14927580" y="6427470"/>
          <a:ext cx="622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0</xdr:colOff>
      <xdr:row>41</xdr:row>
      <xdr:rowOff>76200</xdr:rowOff>
    </xdr:from>
    <xdr:to>
      <xdr:col>102</xdr:col>
      <xdr:colOff>60959</xdr:colOff>
      <xdr:row>41</xdr:row>
      <xdr:rowOff>76200</xdr:rowOff>
    </xdr:to>
    <xdr:cxnSp macro="">
      <xdr:nvCxnSpPr>
        <xdr:cNvPr id="3810" name="직선 화살표 연결선 3809">
          <a:extLst>
            <a:ext uri="{FF2B5EF4-FFF2-40B4-BE49-F238E27FC236}">
              <a16:creationId xmlns:a16="http://schemas.microsoft.com/office/drawing/2014/main" id="{E306F699-BA62-4C5A-9E73-70F20C571A42}"/>
            </a:ext>
          </a:extLst>
        </xdr:cNvPr>
        <xdr:cNvCxnSpPr/>
      </xdr:nvCxnSpPr>
      <xdr:spPr>
        <a:xfrm>
          <a:off x="14927580" y="6484620"/>
          <a:ext cx="6095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0</xdr:colOff>
      <xdr:row>40</xdr:row>
      <xdr:rowOff>19050</xdr:rowOff>
    </xdr:from>
    <xdr:to>
      <xdr:col>103</xdr:col>
      <xdr:colOff>1269</xdr:colOff>
      <xdr:row>40</xdr:row>
      <xdr:rowOff>133350</xdr:rowOff>
    </xdr:to>
    <xdr:sp macro="" textlink="">
      <xdr:nvSpPr>
        <xdr:cNvPr id="3811" name="37">
          <a:extLst>
            <a:ext uri="{FF2B5EF4-FFF2-40B4-BE49-F238E27FC236}">
              <a16:creationId xmlns:a16="http://schemas.microsoft.com/office/drawing/2014/main" id="{27EA6396-8875-4005-8993-7BF69627FD24}"/>
            </a:ext>
          </a:extLst>
        </xdr:cNvPr>
        <xdr:cNvSpPr/>
      </xdr:nvSpPr>
      <xdr:spPr>
        <a:xfrm>
          <a:off x="14927580" y="6275070"/>
          <a:ext cx="622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0</xdr:colOff>
      <xdr:row>40</xdr:row>
      <xdr:rowOff>76200</xdr:rowOff>
    </xdr:from>
    <xdr:to>
      <xdr:col>102</xdr:col>
      <xdr:colOff>60959</xdr:colOff>
      <xdr:row>40</xdr:row>
      <xdr:rowOff>76200</xdr:rowOff>
    </xdr:to>
    <xdr:cxnSp macro="">
      <xdr:nvCxnSpPr>
        <xdr:cNvPr id="3812" name="직선 화살표 연결선 3811">
          <a:extLst>
            <a:ext uri="{FF2B5EF4-FFF2-40B4-BE49-F238E27FC236}">
              <a16:creationId xmlns:a16="http://schemas.microsoft.com/office/drawing/2014/main" id="{B2187A6E-EA9A-43A0-A2B9-1E0718072FB5}"/>
            </a:ext>
          </a:extLst>
        </xdr:cNvPr>
        <xdr:cNvCxnSpPr/>
      </xdr:nvCxnSpPr>
      <xdr:spPr>
        <a:xfrm>
          <a:off x="14927580" y="6332220"/>
          <a:ext cx="6095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0</xdr:colOff>
      <xdr:row>39</xdr:row>
      <xdr:rowOff>19050</xdr:rowOff>
    </xdr:from>
    <xdr:to>
      <xdr:col>115</xdr:col>
      <xdr:colOff>1270</xdr:colOff>
      <xdr:row>39</xdr:row>
      <xdr:rowOff>133350</xdr:rowOff>
    </xdr:to>
    <xdr:sp macro="" textlink="">
      <xdr:nvSpPr>
        <xdr:cNvPr id="3813" name="36">
          <a:extLst>
            <a:ext uri="{FF2B5EF4-FFF2-40B4-BE49-F238E27FC236}">
              <a16:creationId xmlns:a16="http://schemas.microsoft.com/office/drawing/2014/main" id="{A21F946A-BC2B-4708-8D20-8FC0765CB91B}"/>
            </a:ext>
          </a:extLst>
        </xdr:cNvPr>
        <xdr:cNvSpPr/>
      </xdr:nvSpPr>
      <xdr:spPr>
        <a:xfrm>
          <a:off x="14927580" y="6122670"/>
          <a:ext cx="7937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0</xdr:colOff>
      <xdr:row>39</xdr:row>
      <xdr:rowOff>76200</xdr:rowOff>
    </xdr:from>
    <xdr:to>
      <xdr:col>103</xdr:col>
      <xdr:colOff>16355</xdr:colOff>
      <xdr:row>39</xdr:row>
      <xdr:rowOff>76200</xdr:rowOff>
    </xdr:to>
    <xdr:cxnSp macro="">
      <xdr:nvCxnSpPr>
        <xdr:cNvPr id="3814" name="직선 화살표 연결선 3813">
          <a:extLst>
            <a:ext uri="{FF2B5EF4-FFF2-40B4-BE49-F238E27FC236}">
              <a16:creationId xmlns:a16="http://schemas.microsoft.com/office/drawing/2014/main" id="{7A594750-6684-43FF-B0B4-A5D261BB2D33}"/>
            </a:ext>
          </a:extLst>
        </xdr:cNvPr>
        <xdr:cNvCxnSpPr/>
      </xdr:nvCxnSpPr>
      <xdr:spPr>
        <a:xfrm>
          <a:off x="14927580" y="6179820"/>
          <a:ext cx="7731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38</xdr:row>
      <xdr:rowOff>19050</xdr:rowOff>
    </xdr:from>
    <xdr:to>
      <xdr:col>103</xdr:col>
      <xdr:colOff>1269</xdr:colOff>
      <xdr:row>38</xdr:row>
      <xdr:rowOff>133350</xdr:rowOff>
    </xdr:to>
    <xdr:sp macro="" textlink="">
      <xdr:nvSpPr>
        <xdr:cNvPr id="3815" name="35">
          <a:extLst>
            <a:ext uri="{FF2B5EF4-FFF2-40B4-BE49-F238E27FC236}">
              <a16:creationId xmlns:a16="http://schemas.microsoft.com/office/drawing/2014/main" id="{824C4A8A-7C3B-42E5-90D7-3FD74DA86D65}"/>
            </a:ext>
          </a:extLst>
        </xdr:cNvPr>
        <xdr:cNvSpPr/>
      </xdr:nvSpPr>
      <xdr:spPr>
        <a:xfrm>
          <a:off x="14135100" y="5970270"/>
          <a:ext cx="8547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89</xdr:col>
      <xdr:colOff>0</xdr:colOff>
      <xdr:row>38</xdr:row>
      <xdr:rowOff>76200</xdr:rowOff>
    </xdr:from>
    <xdr:to>
      <xdr:col>89</xdr:col>
      <xdr:colOff>0</xdr:colOff>
      <xdr:row>38</xdr:row>
      <xdr:rowOff>76200</xdr:rowOff>
    </xdr:to>
    <xdr:cxnSp macro="">
      <xdr:nvCxnSpPr>
        <xdr:cNvPr id="3816" name="직선 화살표 연결선 3815">
          <a:extLst>
            <a:ext uri="{FF2B5EF4-FFF2-40B4-BE49-F238E27FC236}">
              <a16:creationId xmlns:a16="http://schemas.microsoft.com/office/drawing/2014/main" id="{E29C04E7-0AED-4FF2-980D-319C6D568972}"/>
            </a:ext>
          </a:extLst>
        </xdr:cNvPr>
        <xdr:cNvCxnSpPr/>
      </xdr:nvCxnSpPr>
      <xdr:spPr>
        <a:xfrm>
          <a:off x="14135100" y="60274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60959</xdr:colOff>
      <xdr:row>37</xdr:row>
      <xdr:rowOff>19050</xdr:rowOff>
    </xdr:from>
    <xdr:to>
      <xdr:col>89</xdr:col>
      <xdr:colOff>1270</xdr:colOff>
      <xdr:row>37</xdr:row>
      <xdr:rowOff>133350</xdr:rowOff>
    </xdr:to>
    <xdr:sp macro="" textlink="">
      <xdr:nvSpPr>
        <xdr:cNvPr id="3817" name="34">
          <a:extLst>
            <a:ext uri="{FF2B5EF4-FFF2-40B4-BE49-F238E27FC236}">
              <a16:creationId xmlns:a16="http://schemas.microsoft.com/office/drawing/2014/main" id="{92E1C921-969B-4C1F-8F99-39E767914EC3}"/>
            </a:ext>
          </a:extLst>
        </xdr:cNvPr>
        <xdr:cNvSpPr/>
      </xdr:nvSpPr>
      <xdr:spPr>
        <a:xfrm>
          <a:off x="14074139" y="5817870"/>
          <a:ext cx="62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87</xdr:col>
      <xdr:colOff>60959</xdr:colOff>
      <xdr:row>37</xdr:row>
      <xdr:rowOff>76200</xdr:rowOff>
    </xdr:from>
    <xdr:to>
      <xdr:col>89</xdr:col>
      <xdr:colOff>0</xdr:colOff>
      <xdr:row>37</xdr:row>
      <xdr:rowOff>76200</xdr:rowOff>
    </xdr:to>
    <xdr:cxnSp macro="">
      <xdr:nvCxnSpPr>
        <xdr:cNvPr id="3818" name="직선 화살표 연결선 3817">
          <a:extLst>
            <a:ext uri="{FF2B5EF4-FFF2-40B4-BE49-F238E27FC236}">
              <a16:creationId xmlns:a16="http://schemas.microsoft.com/office/drawing/2014/main" id="{091D85BE-34E2-4894-A903-76F88FCF3E23}"/>
            </a:ext>
          </a:extLst>
        </xdr:cNvPr>
        <xdr:cNvCxnSpPr/>
      </xdr:nvCxnSpPr>
      <xdr:spPr>
        <a:xfrm>
          <a:off x="14074139" y="5875020"/>
          <a:ext cx="60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60959</xdr:colOff>
      <xdr:row>36</xdr:row>
      <xdr:rowOff>19050</xdr:rowOff>
    </xdr:from>
    <xdr:to>
      <xdr:col>89</xdr:col>
      <xdr:colOff>1270</xdr:colOff>
      <xdr:row>36</xdr:row>
      <xdr:rowOff>133350</xdr:rowOff>
    </xdr:to>
    <xdr:sp macro="" textlink="">
      <xdr:nvSpPr>
        <xdr:cNvPr id="3819" name="33">
          <a:extLst>
            <a:ext uri="{FF2B5EF4-FFF2-40B4-BE49-F238E27FC236}">
              <a16:creationId xmlns:a16="http://schemas.microsoft.com/office/drawing/2014/main" id="{EC12AAF2-B15A-4070-82B7-BE6A266D2522}"/>
            </a:ext>
          </a:extLst>
        </xdr:cNvPr>
        <xdr:cNvSpPr/>
      </xdr:nvSpPr>
      <xdr:spPr>
        <a:xfrm>
          <a:off x="14074139" y="5665470"/>
          <a:ext cx="62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87</xdr:col>
      <xdr:colOff>60959</xdr:colOff>
      <xdr:row>36</xdr:row>
      <xdr:rowOff>76200</xdr:rowOff>
    </xdr:from>
    <xdr:to>
      <xdr:col>89</xdr:col>
      <xdr:colOff>0</xdr:colOff>
      <xdr:row>36</xdr:row>
      <xdr:rowOff>76200</xdr:rowOff>
    </xdr:to>
    <xdr:cxnSp macro="">
      <xdr:nvCxnSpPr>
        <xdr:cNvPr id="3820" name="직선 화살표 연결선 3819">
          <a:extLst>
            <a:ext uri="{FF2B5EF4-FFF2-40B4-BE49-F238E27FC236}">
              <a16:creationId xmlns:a16="http://schemas.microsoft.com/office/drawing/2014/main" id="{18A2A716-48A0-4713-8D77-0FD267679F57}"/>
            </a:ext>
          </a:extLst>
        </xdr:cNvPr>
        <xdr:cNvCxnSpPr/>
      </xdr:nvCxnSpPr>
      <xdr:spPr>
        <a:xfrm>
          <a:off x="14074139" y="5722620"/>
          <a:ext cx="60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60959</xdr:colOff>
      <xdr:row>35</xdr:row>
      <xdr:rowOff>19050</xdr:rowOff>
    </xdr:from>
    <xdr:to>
      <xdr:col>89</xdr:col>
      <xdr:colOff>1270</xdr:colOff>
      <xdr:row>35</xdr:row>
      <xdr:rowOff>133350</xdr:rowOff>
    </xdr:to>
    <xdr:sp macro="" textlink="">
      <xdr:nvSpPr>
        <xdr:cNvPr id="3821" name="32">
          <a:extLst>
            <a:ext uri="{FF2B5EF4-FFF2-40B4-BE49-F238E27FC236}">
              <a16:creationId xmlns:a16="http://schemas.microsoft.com/office/drawing/2014/main" id="{272BEBA5-7FEC-4676-AD1B-6E8909FD9654}"/>
            </a:ext>
          </a:extLst>
        </xdr:cNvPr>
        <xdr:cNvSpPr/>
      </xdr:nvSpPr>
      <xdr:spPr>
        <a:xfrm>
          <a:off x="14074139" y="5513070"/>
          <a:ext cx="62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87</xdr:col>
      <xdr:colOff>60959</xdr:colOff>
      <xdr:row>35</xdr:row>
      <xdr:rowOff>76200</xdr:rowOff>
    </xdr:from>
    <xdr:to>
      <xdr:col>89</xdr:col>
      <xdr:colOff>0</xdr:colOff>
      <xdr:row>35</xdr:row>
      <xdr:rowOff>76200</xdr:rowOff>
    </xdr:to>
    <xdr:cxnSp macro="">
      <xdr:nvCxnSpPr>
        <xdr:cNvPr id="3822" name="직선 화살표 연결선 3821">
          <a:extLst>
            <a:ext uri="{FF2B5EF4-FFF2-40B4-BE49-F238E27FC236}">
              <a16:creationId xmlns:a16="http://schemas.microsoft.com/office/drawing/2014/main" id="{466D0F31-ED72-4D3D-8DDD-14D5D6044416}"/>
            </a:ext>
          </a:extLst>
        </xdr:cNvPr>
        <xdr:cNvCxnSpPr/>
      </xdr:nvCxnSpPr>
      <xdr:spPr>
        <a:xfrm>
          <a:off x="14074139" y="5570220"/>
          <a:ext cx="60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60959</xdr:colOff>
      <xdr:row>34</xdr:row>
      <xdr:rowOff>19050</xdr:rowOff>
    </xdr:from>
    <xdr:to>
      <xdr:col>89</xdr:col>
      <xdr:colOff>1270</xdr:colOff>
      <xdr:row>34</xdr:row>
      <xdr:rowOff>133350</xdr:rowOff>
    </xdr:to>
    <xdr:sp macro="" textlink="">
      <xdr:nvSpPr>
        <xdr:cNvPr id="3824" name="31">
          <a:extLst>
            <a:ext uri="{FF2B5EF4-FFF2-40B4-BE49-F238E27FC236}">
              <a16:creationId xmlns:a16="http://schemas.microsoft.com/office/drawing/2014/main" id="{18675747-39C1-411D-BB09-DBEE43E1ACBF}"/>
            </a:ext>
          </a:extLst>
        </xdr:cNvPr>
        <xdr:cNvSpPr/>
      </xdr:nvSpPr>
      <xdr:spPr>
        <a:xfrm>
          <a:off x="14074139" y="5360670"/>
          <a:ext cx="62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87</xdr:col>
      <xdr:colOff>60959</xdr:colOff>
      <xdr:row>34</xdr:row>
      <xdr:rowOff>76200</xdr:rowOff>
    </xdr:from>
    <xdr:to>
      <xdr:col>89</xdr:col>
      <xdr:colOff>0</xdr:colOff>
      <xdr:row>34</xdr:row>
      <xdr:rowOff>76200</xdr:rowOff>
    </xdr:to>
    <xdr:cxnSp macro="">
      <xdr:nvCxnSpPr>
        <xdr:cNvPr id="3825" name="직선 화살표 연결선 3824">
          <a:extLst>
            <a:ext uri="{FF2B5EF4-FFF2-40B4-BE49-F238E27FC236}">
              <a16:creationId xmlns:a16="http://schemas.microsoft.com/office/drawing/2014/main" id="{82F47EDD-B86B-42D7-B9C5-D9B90BE854B9}"/>
            </a:ext>
          </a:extLst>
        </xdr:cNvPr>
        <xdr:cNvCxnSpPr/>
      </xdr:nvCxnSpPr>
      <xdr:spPr>
        <a:xfrm>
          <a:off x="14074139" y="5417820"/>
          <a:ext cx="60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60959</xdr:colOff>
      <xdr:row>33</xdr:row>
      <xdr:rowOff>19050</xdr:rowOff>
    </xdr:from>
    <xdr:to>
      <xdr:col>103</xdr:col>
      <xdr:colOff>1269</xdr:colOff>
      <xdr:row>33</xdr:row>
      <xdr:rowOff>133350</xdr:rowOff>
    </xdr:to>
    <xdr:sp macro="" textlink="">
      <xdr:nvSpPr>
        <xdr:cNvPr id="3826" name="30">
          <a:extLst>
            <a:ext uri="{FF2B5EF4-FFF2-40B4-BE49-F238E27FC236}">
              <a16:creationId xmlns:a16="http://schemas.microsoft.com/office/drawing/2014/main" id="{53A7A5DF-BC6A-413C-AF90-4AC77563FB00}"/>
            </a:ext>
          </a:extLst>
        </xdr:cNvPr>
        <xdr:cNvSpPr/>
      </xdr:nvSpPr>
      <xdr:spPr>
        <a:xfrm>
          <a:off x="14074139" y="5208270"/>
          <a:ext cx="9156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87</xdr:col>
      <xdr:colOff>60959</xdr:colOff>
      <xdr:row>33</xdr:row>
      <xdr:rowOff>76200</xdr:rowOff>
    </xdr:from>
    <xdr:to>
      <xdr:col>92</xdr:col>
      <xdr:colOff>60959</xdr:colOff>
      <xdr:row>33</xdr:row>
      <xdr:rowOff>76200</xdr:rowOff>
    </xdr:to>
    <xdr:cxnSp macro="">
      <xdr:nvCxnSpPr>
        <xdr:cNvPr id="3827" name="직선 화살표 연결선 3826">
          <a:extLst>
            <a:ext uri="{FF2B5EF4-FFF2-40B4-BE49-F238E27FC236}">
              <a16:creationId xmlns:a16="http://schemas.microsoft.com/office/drawing/2014/main" id="{551706E4-F99E-462F-BC38-F7F63BAC03A0}"/>
            </a:ext>
          </a:extLst>
        </xdr:cNvPr>
        <xdr:cNvCxnSpPr/>
      </xdr:nvCxnSpPr>
      <xdr:spPr>
        <a:xfrm>
          <a:off x="14074139" y="526542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0</xdr:colOff>
      <xdr:row>32</xdr:row>
      <xdr:rowOff>19050</xdr:rowOff>
    </xdr:from>
    <xdr:to>
      <xdr:col>88</xdr:col>
      <xdr:colOff>1269</xdr:colOff>
      <xdr:row>32</xdr:row>
      <xdr:rowOff>133350</xdr:rowOff>
    </xdr:to>
    <xdr:sp macro="" textlink="">
      <xdr:nvSpPr>
        <xdr:cNvPr id="3828" name="29">
          <a:extLst>
            <a:ext uri="{FF2B5EF4-FFF2-40B4-BE49-F238E27FC236}">
              <a16:creationId xmlns:a16="http://schemas.microsoft.com/office/drawing/2014/main" id="{296959FD-74D1-451B-A755-755A7FF8D44D}"/>
            </a:ext>
          </a:extLst>
        </xdr:cNvPr>
        <xdr:cNvSpPr/>
      </xdr:nvSpPr>
      <xdr:spPr>
        <a:xfrm>
          <a:off x="13830300" y="5055870"/>
          <a:ext cx="245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0</xdr:colOff>
      <xdr:row>32</xdr:row>
      <xdr:rowOff>76200</xdr:rowOff>
    </xdr:from>
    <xdr:to>
      <xdr:col>87</xdr:col>
      <xdr:colOff>60959</xdr:colOff>
      <xdr:row>32</xdr:row>
      <xdr:rowOff>76200</xdr:rowOff>
    </xdr:to>
    <xdr:cxnSp macro="">
      <xdr:nvCxnSpPr>
        <xdr:cNvPr id="3829" name="직선 화살표 연결선 3828">
          <a:extLst>
            <a:ext uri="{FF2B5EF4-FFF2-40B4-BE49-F238E27FC236}">
              <a16:creationId xmlns:a16="http://schemas.microsoft.com/office/drawing/2014/main" id="{E14CE103-EC18-4769-8E25-D9EE1905840C}"/>
            </a:ext>
          </a:extLst>
        </xdr:cNvPr>
        <xdr:cNvCxnSpPr/>
      </xdr:nvCxnSpPr>
      <xdr:spPr>
        <a:xfrm>
          <a:off x="13830300" y="5113020"/>
          <a:ext cx="2438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0</xdr:colOff>
      <xdr:row>31</xdr:row>
      <xdr:rowOff>19050</xdr:rowOff>
    </xdr:from>
    <xdr:to>
      <xdr:col>85</xdr:col>
      <xdr:colOff>1270</xdr:colOff>
      <xdr:row>31</xdr:row>
      <xdr:rowOff>133350</xdr:rowOff>
    </xdr:to>
    <xdr:sp macro="" textlink="">
      <xdr:nvSpPr>
        <xdr:cNvPr id="3830" name="28">
          <a:extLst>
            <a:ext uri="{FF2B5EF4-FFF2-40B4-BE49-F238E27FC236}">
              <a16:creationId xmlns:a16="http://schemas.microsoft.com/office/drawing/2014/main" id="{74F33FE5-6B8A-454D-97A4-E9F63ECA12A6}"/>
            </a:ext>
          </a:extLst>
        </xdr:cNvPr>
        <xdr:cNvSpPr/>
      </xdr:nvSpPr>
      <xdr:spPr>
        <a:xfrm>
          <a:off x="13830300" y="490347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0</xdr:colOff>
      <xdr:row>31</xdr:row>
      <xdr:rowOff>76200</xdr:rowOff>
    </xdr:from>
    <xdr:to>
      <xdr:col>85</xdr:col>
      <xdr:colOff>1</xdr:colOff>
      <xdr:row>31</xdr:row>
      <xdr:rowOff>76200</xdr:rowOff>
    </xdr:to>
    <xdr:cxnSp macro="">
      <xdr:nvCxnSpPr>
        <xdr:cNvPr id="3831" name="직선 화살표 연결선 3830">
          <a:extLst>
            <a:ext uri="{FF2B5EF4-FFF2-40B4-BE49-F238E27FC236}">
              <a16:creationId xmlns:a16="http://schemas.microsoft.com/office/drawing/2014/main" id="{EF880949-753D-46BF-9098-FA0DDD8513EC}"/>
            </a:ext>
          </a:extLst>
        </xdr:cNvPr>
        <xdr:cNvCxnSpPr/>
      </xdr:nvCxnSpPr>
      <xdr:spPr>
        <a:xfrm>
          <a:off x="13830300" y="4960620"/>
          <a:ext cx="60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0</xdr:colOff>
      <xdr:row>30</xdr:row>
      <xdr:rowOff>19050</xdr:rowOff>
    </xdr:from>
    <xdr:to>
      <xdr:col>85</xdr:col>
      <xdr:colOff>1270</xdr:colOff>
      <xdr:row>30</xdr:row>
      <xdr:rowOff>133350</xdr:rowOff>
    </xdr:to>
    <xdr:sp macro="" textlink="">
      <xdr:nvSpPr>
        <xdr:cNvPr id="3832" name="27">
          <a:extLst>
            <a:ext uri="{FF2B5EF4-FFF2-40B4-BE49-F238E27FC236}">
              <a16:creationId xmlns:a16="http://schemas.microsoft.com/office/drawing/2014/main" id="{A4B345DA-07FA-4F55-8D4E-2C6451DD5CB1}"/>
            </a:ext>
          </a:extLst>
        </xdr:cNvPr>
        <xdr:cNvSpPr/>
      </xdr:nvSpPr>
      <xdr:spPr>
        <a:xfrm>
          <a:off x="13830300" y="475107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0</xdr:colOff>
      <xdr:row>30</xdr:row>
      <xdr:rowOff>76200</xdr:rowOff>
    </xdr:from>
    <xdr:to>
      <xdr:col>85</xdr:col>
      <xdr:colOff>1</xdr:colOff>
      <xdr:row>30</xdr:row>
      <xdr:rowOff>76200</xdr:rowOff>
    </xdr:to>
    <xdr:cxnSp macro="">
      <xdr:nvCxnSpPr>
        <xdr:cNvPr id="3833" name="직선 화살표 연결선 3832">
          <a:extLst>
            <a:ext uri="{FF2B5EF4-FFF2-40B4-BE49-F238E27FC236}">
              <a16:creationId xmlns:a16="http://schemas.microsoft.com/office/drawing/2014/main" id="{45A8D53E-4439-4697-8502-BF2A5A46A4A4}"/>
            </a:ext>
          </a:extLst>
        </xdr:cNvPr>
        <xdr:cNvCxnSpPr/>
      </xdr:nvCxnSpPr>
      <xdr:spPr>
        <a:xfrm>
          <a:off x="13830300" y="4808220"/>
          <a:ext cx="60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0</xdr:colOff>
      <xdr:row>29</xdr:row>
      <xdr:rowOff>19050</xdr:rowOff>
    </xdr:from>
    <xdr:to>
      <xdr:col>85</xdr:col>
      <xdr:colOff>1270</xdr:colOff>
      <xdr:row>29</xdr:row>
      <xdr:rowOff>133350</xdr:rowOff>
    </xdr:to>
    <xdr:sp macro="" textlink="">
      <xdr:nvSpPr>
        <xdr:cNvPr id="3834" name="26">
          <a:extLst>
            <a:ext uri="{FF2B5EF4-FFF2-40B4-BE49-F238E27FC236}">
              <a16:creationId xmlns:a16="http://schemas.microsoft.com/office/drawing/2014/main" id="{4EDAC35F-86AB-4BA8-94BC-F5CBF504BE03}"/>
            </a:ext>
          </a:extLst>
        </xdr:cNvPr>
        <xdr:cNvSpPr/>
      </xdr:nvSpPr>
      <xdr:spPr>
        <a:xfrm>
          <a:off x="13830300" y="459867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0</xdr:colOff>
      <xdr:row>29</xdr:row>
      <xdr:rowOff>76200</xdr:rowOff>
    </xdr:from>
    <xdr:to>
      <xdr:col>85</xdr:col>
      <xdr:colOff>1</xdr:colOff>
      <xdr:row>29</xdr:row>
      <xdr:rowOff>76200</xdr:rowOff>
    </xdr:to>
    <xdr:cxnSp macro="">
      <xdr:nvCxnSpPr>
        <xdr:cNvPr id="3835" name="직선 화살표 연결선 3834">
          <a:extLst>
            <a:ext uri="{FF2B5EF4-FFF2-40B4-BE49-F238E27FC236}">
              <a16:creationId xmlns:a16="http://schemas.microsoft.com/office/drawing/2014/main" id="{C3FBEC4B-30FA-4760-972F-C625150E9999}"/>
            </a:ext>
          </a:extLst>
        </xdr:cNvPr>
        <xdr:cNvCxnSpPr/>
      </xdr:nvCxnSpPr>
      <xdr:spPr>
        <a:xfrm>
          <a:off x="13830300" y="4655820"/>
          <a:ext cx="60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0</xdr:colOff>
      <xdr:row>28</xdr:row>
      <xdr:rowOff>19050</xdr:rowOff>
    </xdr:from>
    <xdr:to>
      <xdr:col>85</xdr:col>
      <xdr:colOff>1270</xdr:colOff>
      <xdr:row>28</xdr:row>
      <xdr:rowOff>133350</xdr:rowOff>
    </xdr:to>
    <xdr:sp macro="" textlink="">
      <xdr:nvSpPr>
        <xdr:cNvPr id="3836" name="25">
          <a:extLst>
            <a:ext uri="{FF2B5EF4-FFF2-40B4-BE49-F238E27FC236}">
              <a16:creationId xmlns:a16="http://schemas.microsoft.com/office/drawing/2014/main" id="{8E90B3DE-302B-45EF-AAE9-CF0BF22AB050}"/>
            </a:ext>
          </a:extLst>
        </xdr:cNvPr>
        <xdr:cNvSpPr/>
      </xdr:nvSpPr>
      <xdr:spPr>
        <a:xfrm>
          <a:off x="13830300" y="444627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0</xdr:colOff>
      <xdr:row>28</xdr:row>
      <xdr:rowOff>76200</xdr:rowOff>
    </xdr:from>
    <xdr:to>
      <xdr:col>85</xdr:col>
      <xdr:colOff>1</xdr:colOff>
      <xdr:row>28</xdr:row>
      <xdr:rowOff>76200</xdr:rowOff>
    </xdr:to>
    <xdr:cxnSp macro="">
      <xdr:nvCxnSpPr>
        <xdr:cNvPr id="3837" name="직선 화살표 연결선 3836">
          <a:extLst>
            <a:ext uri="{FF2B5EF4-FFF2-40B4-BE49-F238E27FC236}">
              <a16:creationId xmlns:a16="http://schemas.microsoft.com/office/drawing/2014/main" id="{CE261CE8-A40C-4EEA-BA2F-5A55A060A917}"/>
            </a:ext>
          </a:extLst>
        </xdr:cNvPr>
        <xdr:cNvCxnSpPr/>
      </xdr:nvCxnSpPr>
      <xdr:spPr>
        <a:xfrm>
          <a:off x="13830300" y="4503420"/>
          <a:ext cx="60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0</xdr:colOff>
      <xdr:row>27</xdr:row>
      <xdr:rowOff>19050</xdr:rowOff>
    </xdr:from>
    <xdr:to>
      <xdr:col>88</xdr:col>
      <xdr:colOff>1269</xdr:colOff>
      <xdr:row>27</xdr:row>
      <xdr:rowOff>133350</xdr:rowOff>
    </xdr:to>
    <xdr:sp macro="" textlink="">
      <xdr:nvSpPr>
        <xdr:cNvPr id="3838" name="24">
          <a:extLst>
            <a:ext uri="{FF2B5EF4-FFF2-40B4-BE49-F238E27FC236}">
              <a16:creationId xmlns:a16="http://schemas.microsoft.com/office/drawing/2014/main" id="{71897389-17FB-4716-BF3A-E092F5414F4F}"/>
            </a:ext>
          </a:extLst>
        </xdr:cNvPr>
        <xdr:cNvSpPr/>
      </xdr:nvSpPr>
      <xdr:spPr>
        <a:xfrm>
          <a:off x="13830300" y="4293870"/>
          <a:ext cx="245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0</xdr:colOff>
      <xdr:row>27</xdr:row>
      <xdr:rowOff>76200</xdr:rowOff>
    </xdr:from>
    <xdr:to>
      <xdr:col>87</xdr:col>
      <xdr:colOff>60959</xdr:colOff>
      <xdr:row>27</xdr:row>
      <xdr:rowOff>76200</xdr:rowOff>
    </xdr:to>
    <xdr:cxnSp macro="">
      <xdr:nvCxnSpPr>
        <xdr:cNvPr id="3839" name="직선 화살표 연결선 3838">
          <a:extLst>
            <a:ext uri="{FF2B5EF4-FFF2-40B4-BE49-F238E27FC236}">
              <a16:creationId xmlns:a16="http://schemas.microsoft.com/office/drawing/2014/main" id="{8AD23966-BA2E-4055-B792-A466717F5527}"/>
            </a:ext>
          </a:extLst>
        </xdr:cNvPr>
        <xdr:cNvCxnSpPr/>
      </xdr:nvCxnSpPr>
      <xdr:spPr>
        <a:xfrm>
          <a:off x="13830300" y="4351020"/>
          <a:ext cx="2438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0</xdr:colOff>
      <xdr:row>26</xdr:row>
      <xdr:rowOff>19050</xdr:rowOff>
    </xdr:from>
    <xdr:to>
      <xdr:col>124</xdr:col>
      <xdr:colOff>1270</xdr:colOff>
      <xdr:row>26</xdr:row>
      <xdr:rowOff>133350</xdr:rowOff>
    </xdr:to>
    <xdr:sp macro="" textlink="">
      <xdr:nvSpPr>
        <xdr:cNvPr id="23936" name="23">
          <a:extLst>
            <a:ext uri="{FF2B5EF4-FFF2-40B4-BE49-F238E27FC236}">
              <a16:creationId xmlns:a16="http://schemas.microsoft.com/office/drawing/2014/main" id="{3F0AFE1C-4269-4A6D-9AE0-B0B6E8008239}"/>
            </a:ext>
          </a:extLst>
        </xdr:cNvPr>
        <xdr:cNvSpPr/>
      </xdr:nvSpPr>
      <xdr:spPr>
        <a:xfrm>
          <a:off x="13830300" y="4141470"/>
          <a:ext cx="24396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0</xdr:colOff>
      <xdr:row>26</xdr:row>
      <xdr:rowOff>76200</xdr:rowOff>
    </xdr:from>
    <xdr:to>
      <xdr:col>124</xdr:col>
      <xdr:colOff>0</xdr:colOff>
      <xdr:row>26</xdr:row>
      <xdr:rowOff>76200</xdr:rowOff>
    </xdr:to>
    <xdr:cxnSp macro="">
      <xdr:nvCxnSpPr>
        <xdr:cNvPr id="23937" name="직선 화살표 연결선 23936">
          <a:extLst>
            <a:ext uri="{FF2B5EF4-FFF2-40B4-BE49-F238E27FC236}">
              <a16:creationId xmlns:a16="http://schemas.microsoft.com/office/drawing/2014/main" id="{6C90E9CE-AC09-4B63-B02A-05ED39688E05}"/>
            </a:ext>
          </a:extLst>
        </xdr:cNvPr>
        <xdr:cNvCxnSpPr/>
      </xdr:nvCxnSpPr>
      <xdr:spPr>
        <a:xfrm>
          <a:off x="13830300" y="4198620"/>
          <a:ext cx="24384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xdr:colOff>
      <xdr:row>25</xdr:row>
      <xdr:rowOff>19050</xdr:rowOff>
    </xdr:from>
    <xdr:to>
      <xdr:col>79</xdr:col>
      <xdr:colOff>1270</xdr:colOff>
      <xdr:row>25</xdr:row>
      <xdr:rowOff>133350</xdr:rowOff>
    </xdr:to>
    <xdr:sp macro="" textlink="">
      <xdr:nvSpPr>
        <xdr:cNvPr id="23938" name="22">
          <a:extLst>
            <a:ext uri="{FF2B5EF4-FFF2-40B4-BE49-F238E27FC236}">
              <a16:creationId xmlns:a16="http://schemas.microsoft.com/office/drawing/2014/main" id="{D0E674CD-1CA5-4444-8452-6B3C8A9AAB3E}"/>
            </a:ext>
          </a:extLst>
        </xdr:cNvPr>
        <xdr:cNvSpPr/>
      </xdr:nvSpPr>
      <xdr:spPr>
        <a:xfrm>
          <a:off x="13281661" y="3989070"/>
          <a:ext cx="245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1</xdr:colOff>
      <xdr:row>25</xdr:row>
      <xdr:rowOff>76200</xdr:rowOff>
    </xdr:from>
    <xdr:to>
      <xdr:col>79</xdr:col>
      <xdr:colOff>0</xdr:colOff>
      <xdr:row>25</xdr:row>
      <xdr:rowOff>76200</xdr:rowOff>
    </xdr:to>
    <xdr:cxnSp macro="">
      <xdr:nvCxnSpPr>
        <xdr:cNvPr id="23939" name="직선 화살표 연결선 23938">
          <a:extLst>
            <a:ext uri="{FF2B5EF4-FFF2-40B4-BE49-F238E27FC236}">
              <a16:creationId xmlns:a16="http://schemas.microsoft.com/office/drawing/2014/main" id="{4BA2CAD4-174E-467E-AA33-4DB0E459E615}"/>
            </a:ext>
          </a:extLst>
        </xdr:cNvPr>
        <xdr:cNvCxnSpPr/>
      </xdr:nvCxnSpPr>
      <xdr:spPr>
        <a:xfrm>
          <a:off x="13281661" y="4046220"/>
          <a:ext cx="2438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xdr:colOff>
      <xdr:row>24</xdr:row>
      <xdr:rowOff>26670</xdr:rowOff>
    </xdr:from>
    <xdr:to>
      <xdr:col>79</xdr:col>
      <xdr:colOff>1270</xdr:colOff>
      <xdr:row>24</xdr:row>
      <xdr:rowOff>140970</xdr:rowOff>
    </xdr:to>
    <xdr:sp macro="" textlink="">
      <xdr:nvSpPr>
        <xdr:cNvPr id="23940" name="21">
          <a:extLst>
            <a:ext uri="{FF2B5EF4-FFF2-40B4-BE49-F238E27FC236}">
              <a16:creationId xmlns:a16="http://schemas.microsoft.com/office/drawing/2014/main" id="{25D6D857-3767-4D80-B491-47BF18C9D6EE}"/>
            </a:ext>
          </a:extLst>
        </xdr:cNvPr>
        <xdr:cNvSpPr/>
      </xdr:nvSpPr>
      <xdr:spPr>
        <a:xfrm>
          <a:off x="13281661" y="3829050"/>
          <a:ext cx="245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1</xdr:colOff>
      <xdr:row>24</xdr:row>
      <xdr:rowOff>83820</xdr:rowOff>
    </xdr:from>
    <xdr:to>
      <xdr:col>79</xdr:col>
      <xdr:colOff>0</xdr:colOff>
      <xdr:row>24</xdr:row>
      <xdr:rowOff>83820</xdr:rowOff>
    </xdr:to>
    <xdr:cxnSp macro="">
      <xdr:nvCxnSpPr>
        <xdr:cNvPr id="23941" name="직선 화살표 연결선 23940">
          <a:extLst>
            <a:ext uri="{FF2B5EF4-FFF2-40B4-BE49-F238E27FC236}">
              <a16:creationId xmlns:a16="http://schemas.microsoft.com/office/drawing/2014/main" id="{D5552368-36BF-4CE1-8EE0-E78F4FFEB5F7}"/>
            </a:ext>
          </a:extLst>
        </xdr:cNvPr>
        <xdr:cNvCxnSpPr/>
      </xdr:nvCxnSpPr>
      <xdr:spPr>
        <a:xfrm>
          <a:off x="13281661" y="3886200"/>
          <a:ext cx="2438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xdr:colOff>
      <xdr:row>23</xdr:row>
      <xdr:rowOff>19050</xdr:rowOff>
    </xdr:from>
    <xdr:to>
      <xdr:col>79</xdr:col>
      <xdr:colOff>1270</xdr:colOff>
      <xdr:row>23</xdr:row>
      <xdr:rowOff>133350</xdr:rowOff>
    </xdr:to>
    <xdr:sp macro="" textlink="">
      <xdr:nvSpPr>
        <xdr:cNvPr id="23942" name="20">
          <a:extLst>
            <a:ext uri="{FF2B5EF4-FFF2-40B4-BE49-F238E27FC236}">
              <a16:creationId xmlns:a16="http://schemas.microsoft.com/office/drawing/2014/main" id="{9B59B725-2DB3-4428-A52D-478BD8CCD6F9}"/>
            </a:ext>
          </a:extLst>
        </xdr:cNvPr>
        <xdr:cNvSpPr/>
      </xdr:nvSpPr>
      <xdr:spPr>
        <a:xfrm>
          <a:off x="13281661" y="3669030"/>
          <a:ext cx="245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1</xdr:colOff>
      <xdr:row>23</xdr:row>
      <xdr:rowOff>76200</xdr:rowOff>
    </xdr:from>
    <xdr:to>
      <xdr:col>79</xdr:col>
      <xdr:colOff>0</xdr:colOff>
      <xdr:row>23</xdr:row>
      <xdr:rowOff>76200</xdr:rowOff>
    </xdr:to>
    <xdr:cxnSp macro="">
      <xdr:nvCxnSpPr>
        <xdr:cNvPr id="23943" name="직선 화살표 연결선 23942">
          <a:extLst>
            <a:ext uri="{FF2B5EF4-FFF2-40B4-BE49-F238E27FC236}">
              <a16:creationId xmlns:a16="http://schemas.microsoft.com/office/drawing/2014/main" id="{94D9F454-E283-4F86-B50C-F3DFBBDA0257}"/>
            </a:ext>
          </a:extLst>
        </xdr:cNvPr>
        <xdr:cNvCxnSpPr/>
      </xdr:nvCxnSpPr>
      <xdr:spPr>
        <a:xfrm>
          <a:off x="13281661" y="3726180"/>
          <a:ext cx="2438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22</xdr:row>
      <xdr:rowOff>19050</xdr:rowOff>
    </xdr:from>
    <xdr:to>
      <xdr:col>71</xdr:col>
      <xdr:colOff>1269</xdr:colOff>
      <xdr:row>22</xdr:row>
      <xdr:rowOff>133350</xdr:rowOff>
    </xdr:to>
    <xdr:sp macro="" textlink="">
      <xdr:nvSpPr>
        <xdr:cNvPr id="23944" name="19">
          <a:extLst>
            <a:ext uri="{FF2B5EF4-FFF2-40B4-BE49-F238E27FC236}">
              <a16:creationId xmlns:a16="http://schemas.microsoft.com/office/drawing/2014/main" id="{F7265CCE-0C2B-4D72-9E84-721D4B30DF56}"/>
            </a:ext>
          </a:extLst>
        </xdr:cNvPr>
        <xdr:cNvSpPr/>
      </xdr:nvSpPr>
      <xdr:spPr>
        <a:xfrm>
          <a:off x="12915900" y="3516630"/>
          <a:ext cx="12318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0</xdr:colOff>
      <xdr:row>22</xdr:row>
      <xdr:rowOff>76200</xdr:rowOff>
    </xdr:from>
    <xdr:to>
      <xdr:col>71</xdr:col>
      <xdr:colOff>0</xdr:colOff>
      <xdr:row>22</xdr:row>
      <xdr:rowOff>76200</xdr:rowOff>
    </xdr:to>
    <xdr:cxnSp macro="">
      <xdr:nvCxnSpPr>
        <xdr:cNvPr id="23945" name="직선 화살표 연결선 23944">
          <a:extLst>
            <a:ext uri="{FF2B5EF4-FFF2-40B4-BE49-F238E27FC236}">
              <a16:creationId xmlns:a16="http://schemas.microsoft.com/office/drawing/2014/main" id="{F73A9C13-46F5-4FFE-ACCE-9EC2C6016392}"/>
            </a:ext>
          </a:extLst>
        </xdr:cNvPr>
        <xdr:cNvCxnSpPr/>
      </xdr:nvCxnSpPr>
      <xdr:spPr>
        <a:xfrm>
          <a:off x="12915900" y="35737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21</xdr:row>
      <xdr:rowOff>19050</xdr:rowOff>
    </xdr:from>
    <xdr:to>
      <xdr:col>71</xdr:col>
      <xdr:colOff>1269</xdr:colOff>
      <xdr:row>21</xdr:row>
      <xdr:rowOff>133350</xdr:rowOff>
    </xdr:to>
    <xdr:sp macro="" textlink="">
      <xdr:nvSpPr>
        <xdr:cNvPr id="23946" name="18">
          <a:extLst>
            <a:ext uri="{FF2B5EF4-FFF2-40B4-BE49-F238E27FC236}">
              <a16:creationId xmlns:a16="http://schemas.microsoft.com/office/drawing/2014/main" id="{9C56241A-AA1D-419B-9CE3-1F9DC338B9EF}"/>
            </a:ext>
          </a:extLst>
        </xdr:cNvPr>
        <xdr:cNvSpPr/>
      </xdr:nvSpPr>
      <xdr:spPr>
        <a:xfrm>
          <a:off x="12915900" y="3364230"/>
          <a:ext cx="12318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0</xdr:colOff>
      <xdr:row>21</xdr:row>
      <xdr:rowOff>76200</xdr:rowOff>
    </xdr:from>
    <xdr:to>
      <xdr:col>71</xdr:col>
      <xdr:colOff>0</xdr:colOff>
      <xdr:row>21</xdr:row>
      <xdr:rowOff>76200</xdr:rowOff>
    </xdr:to>
    <xdr:cxnSp macro="">
      <xdr:nvCxnSpPr>
        <xdr:cNvPr id="23947" name="직선 화살표 연결선 23946">
          <a:extLst>
            <a:ext uri="{FF2B5EF4-FFF2-40B4-BE49-F238E27FC236}">
              <a16:creationId xmlns:a16="http://schemas.microsoft.com/office/drawing/2014/main" id="{AE65E94D-B9C6-4F64-BD70-1F04FA4A4B8F}"/>
            </a:ext>
          </a:extLst>
        </xdr:cNvPr>
        <xdr:cNvCxnSpPr/>
      </xdr:nvCxnSpPr>
      <xdr:spPr>
        <a:xfrm>
          <a:off x="12915900" y="34213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0</xdr:colOff>
      <xdr:row>20</xdr:row>
      <xdr:rowOff>19050</xdr:rowOff>
    </xdr:from>
    <xdr:to>
      <xdr:col>74</xdr:col>
      <xdr:colOff>1270</xdr:colOff>
      <xdr:row>20</xdr:row>
      <xdr:rowOff>133350</xdr:rowOff>
    </xdr:to>
    <xdr:sp macro="" textlink="">
      <xdr:nvSpPr>
        <xdr:cNvPr id="23948" name="0">
          <a:extLst>
            <a:ext uri="{FF2B5EF4-FFF2-40B4-BE49-F238E27FC236}">
              <a16:creationId xmlns:a16="http://schemas.microsoft.com/office/drawing/2014/main" id="{E89FDFC2-F2B2-4375-BDA3-008EC3E39AE9}"/>
            </a:ext>
          </a:extLst>
        </xdr:cNvPr>
        <xdr:cNvSpPr/>
      </xdr:nvSpPr>
      <xdr:spPr>
        <a:xfrm>
          <a:off x="12123420" y="3211830"/>
          <a:ext cx="10985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0</xdr:colOff>
      <xdr:row>20</xdr:row>
      <xdr:rowOff>76200</xdr:rowOff>
    </xdr:from>
    <xdr:to>
      <xdr:col>74</xdr:col>
      <xdr:colOff>0</xdr:colOff>
      <xdr:row>20</xdr:row>
      <xdr:rowOff>76200</xdr:rowOff>
    </xdr:to>
    <xdr:cxnSp macro="">
      <xdr:nvCxnSpPr>
        <xdr:cNvPr id="23949" name="직선 화살표 연결선 23948">
          <a:extLst>
            <a:ext uri="{FF2B5EF4-FFF2-40B4-BE49-F238E27FC236}">
              <a16:creationId xmlns:a16="http://schemas.microsoft.com/office/drawing/2014/main" id="{F2468350-9F10-4C50-A32F-FB45B3A6710F}"/>
            </a:ext>
          </a:extLst>
        </xdr:cNvPr>
        <xdr:cNvCxnSpPr/>
      </xdr:nvCxnSpPr>
      <xdr:spPr>
        <a:xfrm>
          <a:off x="12123420" y="3268980"/>
          <a:ext cx="10972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19</xdr:row>
      <xdr:rowOff>19050</xdr:rowOff>
    </xdr:from>
    <xdr:to>
      <xdr:col>57</xdr:col>
      <xdr:colOff>1270</xdr:colOff>
      <xdr:row>19</xdr:row>
      <xdr:rowOff>133350</xdr:rowOff>
    </xdr:to>
    <xdr:sp macro="" textlink="">
      <xdr:nvSpPr>
        <xdr:cNvPr id="23950" name="16">
          <a:extLst>
            <a:ext uri="{FF2B5EF4-FFF2-40B4-BE49-F238E27FC236}">
              <a16:creationId xmlns:a16="http://schemas.microsoft.com/office/drawing/2014/main" id="{E0B69EFD-5301-46D5-A355-BD76949241E6}"/>
            </a:ext>
          </a:extLst>
        </xdr:cNvPr>
        <xdr:cNvSpPr/>
      </xdr:nvSpPr>
      <xdr:spPr>
        <a:xfrm>
          <a:off x="12062460" y="305943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0</xdr:colOff>
      <xdr:row>19</xdr:row>
      <xdr:rowOff>76200</xdr:rowOff>
    </xdr:from>
    <xdr:to>
      <xdr:col>57</xdr:col>
      <xdr:colOff>0</xdr:colOff>
      <xdr:row>19</xdr:row>
      <xdr:rowOff>76200</xdr:rowOff>
    </xdr:to>
    <xdr:cxnSp macro="">
      <xdr:nvCxnSpPr>
        <xdr:cNvPr id="23951" name="직선 화살표 연결선 23950">
          <a:extLst>
            <a:ext uri="{FF2B5EF4-FFF2-40B4-BE49-F238E27FC236}">
              <a16:creationId xmlns:a16="http://schemas.microsoft.com/office/drawing/2014/main" id="{C6791CA9-7B57-4736-B54C-A1B655CB95B5}"/>
            </a:ext>
          </a:extLst>
        </xdr:cNvPr>
        <xdr:cNvCxnSpPr/>
      </xdr:nvCxnSpPr>
      <xdr:spPr>
        <a:xfrm>
          <a:off x="12062460" y="31165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18</xdr:row>
      <xdr:rowOff>19050</xdr:rowOff>
    </xdr:from>
    <xdr:to>
      <xdr:col>57</xdr:col>
      <xdr:colOff>1270</xdr:colOff>
      <xdr:row>18</xdr:row>
      <xdr:rowOff>133350</xdr:rowOff>
    </xdr:to>
    <xdr:sp macro="" textlink="">
      <xdr:nvSpPr>
        <xdr:cNvPr id="23952" name="15">
          <a:extLst>
            <a:ext uri="{FF2B5EF4-FFF2-40B4-BE49-F238E27FC236}">
              <a16:creationId xmlns:a16="http://schemas.microsoft.com/office/drawing/2014/main" id="{C572E20E-E9C8-4B91-B601-BABF03202FDE}"/>
            </a:ext>
          </a:extLst>
        </xdr:cNvPr>
        <xdr:cNvSpPr/>
      </xdr:nvSpPr>
      <xdr:spPr>
        <a:xfrm>
          <a:off x="12062460" y="290703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0</xdr:colOff>
      <xdr:row>18</xdr:row>
      <xdr:rowOff>76200</xdr:rowOff>
    </xdr:from>
    <xdr:to>
      <xdr:col>57</xdr:col>
      <xdr:colOff>0</xdr:colOff>
      <xdr:row>18</xdr:row>
      <xdr:rowOff>76200</xdr:rowOff>
    </xdr:to>
    <xdr:cxnSp macro="">
      <xdr:nvCxnSpPr>
        <xdr:cNvPr id="23953" name="직선 화살표 연결선 23952">
          <a:extLst>
            <a:ext uri="{FF2B5EF4-FFF2-40B4-BE49-F238E27FC236}">
              <a16:creationId xmlns:a16="http://schemas.microsoft.com/office/drawing/2014/main" id="{11994422-D6F9-4161-B3E7-714239F5B56E}"/>
            </a:ext>
          </a:extLst>
        </xdr:cNvPr>
        <xdr:cNvCxnSpPr/>
      </xdr:nvCxnSpPr>
      <xdr:spPr>
        <a:xfrm>
          <a:off x="12062460" y="29641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17</xdr:row>
      <xdr:rowOff>19050</xdr:rowOff>
    </xdr:from>
    <xdr:to>
      <xdr:col>74</xdr:col>
      <xdr:colOff>1270</xdr:colOff>
      <xdr:row>17</xdr:row>
      <xdr:rowOff>133350</xdr:rowOff>
    </xdr:to>
    <xdr:sp macro="" textlink="">
      <xdr:nvSpPr>
        <xdr:cNvPr id="23954" name="14">
          <a:extLst>
            <a:ext uri="{FF2B5EF4-FFF2-40B4-BE49-F238E27FC236}">
              <a16:creationId xmlns:a16="http://schemas.microsoft.com/office/drawing/2014/main" id="{0A6B2D6E-64F3-4F3E-B082-ABF1790FC05A}"/>
            </a:ext>
          </a:extLst>
        </xdr:cNvPr>
        <xdr:cNvSpPr/>
      </xdr:nvSpPr>
      <xdr:spPr>
        <a:xfrm>
          <a:off x="12062460" y="2754630"/>
          <a:ext cx="11595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0</xdr:colOff>
      <xdr:row>17</xdr:row>
      <xdr:rowOff>76200</xdr:rowOff>
    </xdr:from>
    <xdr:to>
      <xdr:col>74</xdr:col>
      <xdr:colOff>0</xdr:colOff>
      <xdr:row>17</xdr:row>
      <xdr:rowOff>76200</xdr:rowOff>
    </xdr:to>
    <xdr:cxnSp macro="">
      <xdr:nvCxnSpPr>
        <xdr:cNvPr id="23955" name="직선 화살표 연결선 23954">
          <a:extLst>
            <a:ext uri="{FF2B5EF4-FFF2-40B4-BE49-F238E27FC236}">
              <a16:creationId xmlns:a16="http://schemas.microsoft.com/office/drawing/2014/main" id="{4D1FB300-0E87-42B7-94F7-33AC971D13BB}"/>
            </a:ext>
          </a:extLst>
        </xdr:cNvPr>
        <xdr:cNvCxnSpPr/>
      </xdr:nvCxnSpPr>
      <xdr:spPr>
        <a:xfrm>
          <a:off x="12062460" y="2811780"/>
          <a:ext cx="11582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16</xdr:row>
      <xdr:rowOff>19050</xdr:rowOff>
    </xdr:from>
    <xdr:to>
      <xdr:col>79</xdr:col>
      <xdr:colOff>1270</xdr:colOff>
      <xdr:row>16</xdr:row>
      <xdr:rowOff>133350</xdr:rowOff>
    </xdr:to>
    <xdr:sp macro="" textlink="">
      <xdr:nvSpPr>
        <xdr:cNvPr id="23956" name="13">
          <a:extLst>
            <a:ext uri="{FF2B5EF4-FFF2-40B4-BE49-F238E27FC236}">
              <a16:creationId xmlns:a16="http://schemas.microsoft.com/office/drawing/2014/main" id="{9CEF39F0-2BAC-42DD-929F-CE5B8DE32B14}"/>
            </a:ext>
          </a:extLst>
        </xdr:cNvPr>
        <xdr:cNvSpPr/>
      </xdr:nvSpPr>
      <xdr:spPr>
        <a:xfrm>
          <a:off x="12062460" y="2602230"/>
          <a:ext cx="14643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0</xdr:colOff>
      <xdr:row>16</xdr:row>
      <xdr:rowOff>76200</xdr:rowOff>
    </xdr:from>
    <xdr:to>
      <xdr:col>79</xdr:col>
      <xdr:colOff>0</xdr:colOff>
      <xdr:row>16</xdr:row>
      <xdr:rowOff>76200</xdr:rowOff>
    </xdr:to>
    <xdr:cxnSp macro="">
      <xdr:nvCxnSpPr>
        <xdr:cNvPr id="23957" name="직선 화살표 연결선 23956">
          <a:extLst>
            <a:ext uri="{FF2B5EF4-FFF2-40B4-BE49-F238E27FC236}">
              <a16:creationId xmlns:a16="http://schemas.microsoft.com/office/drawing/2014/main" id="{F0341DA5-057E-4771-ABD7-BBFC244E4572}"/>
            </a:ext>
          </a:extLst>
        </xdr:cNvPr>
        <xdr:cNvCxnSpPr/>
      </xdr:nvCxnSpPr>
      <xdr:spPr>
        <a:xfrm>
          <a:off x="12062460" y="2659380"/>
          <a:ext cx="14630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15</xdr:row>
      <xdr:rowOff>19050</xdr:rowOff>
    </xdr:from>
    <xdr:to>
      <xdr:col>56</xdr:col>
      <xdr:colOff>1269</xdr:colOff>
      <xdr:row>15</xdr:row>
      <xdr:rowOff>133350</xdr:rowOff>
    </xdr:to>
    <xdr:sp macro="" textlink="">
      <xdr:nvSpPr>
        <xdr:cNvPr id="23958" name="12">
          <a:extLst>
            <a:ext uri="{FF2B5EF4-FFF2-40B4-BE49-F238E27FC236}">
              <a16:creationId xmlns:a16="http://schemas.microsoft.com/office/drawing/2014/main" id="{84AB419B-B9E3-45C1-95E1-4EB812677AEA}"/>
            </a:ext>
          </a:extLst>
        </xdr:cNvPr>
        <xdr:cNvSpPr/>
      </xdr:nvSpPr>
      <xdr:spPr>
        <a:xfrm>
          <a:off x="11940540" y="2449830"/>
          <a:ext cx="1841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0</xdr:colOff>
      <xdr:row>15</xdr:row>
      <xdr:rowOff>76200</xdr:rowOff>
    </xdr:from>
    <xdr:to>
      <xdr:col>56</xdr:col>
      <xdr:colOff>0</xdr:colOff>
      <xdr:row>15</xdr:row>
      <xdr:rowOff>76200</xdr:rowOff>
    </xdr:to>
    <xdr:cxnSp macro="">
      <xdr:nvCxnSpPr>
        <xdr:cNvPr id="23959" name="직선 화살표 연결선 23958">
          <a:extLst>
            <a:ext uri="{FF2B5EF4-FFF2-40B4-BE49-F238E27FC236}">
              <a16:creationId xmlns:a16="http://schemas.microsoft.com/office/drawing/2014/main" id="{65A1FAE4-FB60-4C1B-9A1B-8F8CC2706DE2}"/>
            </a:ext>
          </a:extLst>
        </xdr:cNvPr>
        <xdr:cNvCxnSpPr/>
      </xdr:nvCxnSpPr>
      <xdr:spPr>
        <a:xfrm>
          <a:off x="11940540" y="2506980"/>
          <a:ext cx="1828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14</xdr:row>
      <xdr:rowOff>19050</xdr:rowOff>
    </xdr:from>
    <xdr:to>
      <xdr:col>53</xdr:col>
      <xdr:colOff>1270</xdr:colOff>
      <xdr:row>14</xdr:row>
      <xdr:rowOff>133350</xdr:rowOff>
    </xdr:to>
    <xdr:sp macro="" textlink="">
      <xdr:nvSpPr>
        <xdr:cNvPr id="23960" name="0">
          <a:extLst>
            <a:ext uri="{FF2B5EF4-FFF2-40B4-BE49-F238E27FC236}">
              <a16:creationId xmlns:a16="http://schemas.microsoft.com/office/drawing/2014/main" id="{3750D6C2-9DBE-4E26-9131-AA505F90D40F}"/>
            </a:ext>
          </a:extLst>
        </xdr:cNvPr>
        <xdr:cNvSpPr/>
      </xdr:nvSpPr>
      <xdr:spPr>
        <a:xfrm>
          <a:off x="11818620" y="229743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0</xdr:colOff>
      <xdr:row>14</xdr:row>
      <xdr:rowOff>76200</xdr:rowOff>
    </xdr:from>
    <xdr:to>
      <xdr:col>53</xdr:col>
      <xdr:colOff>0</xdr:colOff>
      <xdr:row>14</xdr:row>
      <xdr:rowOff>76200</xdr:rowOff>
    </xdr:to>
    <xdr:cxnSp macro="">
      <xdr:nvCxnSpPr>
        <xdr:cNvPr id="23961" name="직선 화살표 연결선 23960">
          <a:extLst>
            <a:ext uri="{FF2B5EF4-FFF2-40B4-BE49-F238E27FC236}">
              <a16:creationId xmlns:a16="http://schemas.microsoft.com/office/drawing/2014/main" id="{3840A08E-FF89-4C71-B572-FCBD2C63DBA7}"/>
            </a:ext>
          </a:extLst>
        </xdr:cNvPr>
        <xdr:cNvCxnSpPr/>
      </xdr:nvCxnSpPr>
      <xdr:spPr>
        <a:xfrm>
          <a:off x="11818620" y="23545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13</xdr:row>
      <xdr:rowOff>19050</xdr:rowOff>
    </xdr:from>
    <xdr:to>
      <xdr:col>52</xdr:col>
      <xdr:colOff>1270</xdr:colOff>
      <xdr:row>13</xdr:row>
      <xdr:rowOff>133350</xdr:rowOff>
    </xdr:to>
    <xdr:sp macro="" textlink="">
      <xdr:nvSpPr>
        <xdr:cNvPr id="23962" name="10">
          <a:extLst>
            <a:ext uri="{FF2B5EF4-FFF2-40B4-BE49-F238E27FC236}">
              <a16:creationId xmlns:a16="http://schemas.microsoft.com/office/drawing/2014/main" id="{126BF61A-1C79-4E82-A204-75F0C4EE0D0B}"/>
            </a:ext>
          </a:extLst>
        </xdr:cNvPr>
        <xdr:cNvSpPr/>
      </xdr:nvSpPr>
      <xdr:spPr>
        <a:xfrm>
          <a:off x="11696700" y="2145030"/>
          <a:ext cx="1841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13</xdr:row>
      <xdr:rowOff>76200</xdr:rowOff>
    </xdr:from>
    <xdr:to>
      <xdr:col>52</xdr:col>
      <xdr:colOff>0</xdr:colOff>
      <xdr:row>13</xdr:row>
      <xdr:rowOff>76200</xdr:rowOff>
    </xdr:to>
    <xdr:cxnSp macro="">
      <xdr:nvCxnSpPr>
        <xdr:cNvPr id="23963" name="직선 화살표 연결선 23962">
          <a:extLst>
            <a:ext uri="{FF2B5EF4-FFF2-40B4-BE49-F238E27FC236}">
              <a16:creationId xmlns:a16="http://schemas.microsoft.com/office/drawing/2014/main" id="{AEC122AA-8599-4E4F-95AE-366496798B4D}"/>
            </a:ext>
          </a:extLst>
        </xdr:cNvPr>
        <xdr:cNvCxnSpPr/>
      </xdr:nvCxnSpPr>
      <xdr:spPr>
        <a:xfrm>
          <a:off x="11696700" y="2202180"/>
          <a:ext cx="1828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12</xdr:row>
      <xdr:rowOff>19050</xdr:rowOff>
    </xdr:from>
    <xdr:to>
      <xdr:col>56</xdr:col>
      <xdr:colOff>1269</xdr:colOff>
      <xdr:row>12</xdr:row>
      <xdr:rowOff>133350</xdr:rowOff>
    </xdr:to>
    <xdr:sp macro="" textlink="">
      <xdr:nvSpPr>
        <xdr:cNvPr id="23964" name="9">
          <a:extLst>
            <a:ext uri="{FF2B5EF4-FFF2-40B4-BE49-F238E27FC236}">
              <a16:creationId xmlns:a16="http://schemas.microsoft.com/office/drawing/2014/main" id="{39AF9FE4-D439-4426-A3BF-88EF51DB5C9F}"/>
            </a:ext>
          </a:extLst>
        </xdr:cNvPr>
        <xdr:cNvSpPr/>
      </xdr:nvSpPr>
      <xdr:spPr>
        <a:xfrm>
          <a:off x="11696700" y="1992630"/>
          <a:ext cx="42798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12</xdr:row>
      <xdr:rowOff>76200</xdr:rowOff>
    </xdr:from>
    <xdr:to>
      <xdr:col>56</xdr:col>
      <xdr:colOff>0</xdr:colOff>
      <xdr:row>12</xdr:row>
      <xdr:rowOff>76200</xdr:rowOff>
    </xdr:to>
    <xdr:cxnSp macro="">
      <xdr:nvCxnSpPr>
        <xdr:cNvPr id="23965" name="직선 화살표 연결선 23964">
          <a:extLst>
            <a:ext uri="{FF2B5EF4-FFF2-40B4-BE49-F238E27FC236}">
              <a16:creationId xmlns:a16="http://schemas.microsoft.com/office/drawing/2014/main" id="{9BF46BBB-A137-4436-BD03-0FE817376572}"/>
            </a:ext>
          </a:extLst>
        </xdr:cNvPr>
        <xdr:cNvCxnSpPr/>
      </xdr:nvCxnSpPr>
      <xdr:spPr>
        <a:xfrm>
          <a:off x="11696700" y="2049780"/>
          <a:ext cx="4267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11</xdr:row>
      <xdr:rowOff>19050</xdr:rowOff>
    </xdr:from>
    <xdr:to>
      <xdr:col>60</xdr:col>
      <xdr:colOff>1270</xdr:colOff>
      <xdr:row>11</xdr:row>
      <xdr:rowOff>133350</xdr:rowOff>
    </xdr:to>
    <xdr:sp macro="" textlink="">
      <xdr:nvSpPr>
        <xdr:cNvPr id="23966" name="8">
          <a:extLst>
            <a:ext uri="{FF2B5EF4-FFF2-40B4-BE49-F238E27FC236}">
              <a16:creationId xmlns:a16="http://schemas.microsoft.com/office/drawing/2014/main" id="{5A613ED3-3AB3-4BA4-9004-6C4C2C317FE3}"/>
            </a:ext>
          </a:extLst>
        </xdr:cNvPr>
        <xdr:cNvSpPr/>
      </xdr:nvSpPr>
      <xdr:spPr>
        <a:xfrm>
          <a:off x="11940540" y="1840230"/>
          <a:ext cx="4279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0</xdr:colOff>
      <xdr:row>11</xdr:row>
      <xdr:rowOff>76200</xdr:rowOff>
    </xdr:from>
    <xdr:to>
      <xdr:col>60</xdr:col>
      <xdr:colOff>0</xdr:colOff>
      <xdr:row>11</xdr:row>
      <xdr:rowOff>76200</xdr:rowOff>
    </xdr:to>
    <xdr:cxnSp macro="">
      <xdr:nvCxnSpPr>
        <xdr:cNvPr id="23967" name="직선 화살표 연결선 23966">
          <a:extLst>
            <a:ext uri="{FF2B5EF4-FFF2-40B4-BE49-F238E27FC236}">
              <a16:creationId xmlns:a16="http://schemas.microsoft.com/office/drawing/2014/main" id="{141540BE-8B1F-4957-964E-A8CB79C574CA}"/>
            </a:ext>
          </a:extLst>
        </xdr:cNvPr>
        <xdr:cNvCxnSpPr/>
      </xdr:nvCxnSpPr>
      <xdr:spPr>
        <a:xfrm>
          <a:off x="11940540" y="1897380"/>
          <a:ext cx="4267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10</xdr:row>
      <xdr:rowOff>19050</xdr:rowOff>
    </xdr:from>
    <xdr:to>
      <xdr:col>60</xdr:col>
      <xdr:colOff>1270</xdr:colOff>
      <xdr:row>10</xdr:row>
      <xdr:rowOff>133350</xdr:rowOff>
    </xdr:to>
    <xdr:sp macro="" textlink="">
      <xdr:nvSpPr>
        <xdr:cNvPr id="23968" name="7">
          <a:extLst>
            <a:ext uri="{FF2B5EF4-FFF2-40B4-BE49-F238E27FC236}">
              <a16:creationId xmlns:a16="http://schemas.microsoft.com/office/drawing/2014/main" id="{BAD72680-5227-4F3F-8CD9-804A82419BF9}"/>
            </a:ext>
          </a:extLst>
        </xdr:cNvPr>
        <xdr:cNvSpPr/>
      </xdr:nvSpPr>
      <xdr:spPr>
        <a:xfrm>
          <a:off x="11513820" y="1687830"/>
          <a:ext cx="8547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10</xdr:row>
      <xdr:rowOff>76200</xdr:rowOff>
    </xdr:from>
    <xdr:to>
      <xdr:col>60</xdr:col>
      <xdr:colOff>0</xdr:colOff>
      <xdr:row>10</xdr:row>
      <xdr:rowOff>76200</xdr:rowOff>
    </xdr:to>
    <xdr:cxnSp macro="">
      <xdr:nvCxnSpPr>
        <xdr:cNvPr id="23969" name="직선 화살표 연결선 23968">
          <a:extLst>
            <a:ext uri="{FF2B5EF4-FFF2-40B4-BE49-F238E27FC236}">
              <a16:creationId xmlns:a16="http://schemas.microsoft.com/office/drawing/2014/main" id="{F14D5011-6591-4D2D-A384-14737E2808D2}"/>
            </a:ext>
          </a:extLst>
        </xdr:cNvPr>
        <xdr:cNvCxnSpPr/>
      </xdr:nvCxnSpPr>
      <xdr:spPr>
        <a:xfrm>
          <a:off x="11513820" y="1744980"/>
          <a:ext cx="8534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9</xdr:row>
      <xdr:rowOff>19050</xdr:rowOff>
    </xdr:from>
    <xdr:to>
      <xdr:col>60</xdr:col>
      <xdr:colOff>1270</xdr:colOff>
      <xdr:row>9</xdr:row>
      <xdr:rowOff>133350</xdr:rowOff>
    </xdr:to>
    <xdr:sp macro="" textlink="">
      <xdr:nvSpPr>
        <xdr:cNvPr id="23970" name="0">
          <a:extLst>
            <a:ext uri="{FF2B5EF4-FFF2-40B4-BE49-F238E27FC236}">
              <a16:creationId xmlns:a16="http://schemas.microsoft.com/office/drawing/2014/main" id="{1F76C4B5-096D-444D-94A8-DC9946002F20}"/>
            </a:ext>
          </a:extLst>
        </xdr:cNvPr>
        <xdr:cNvSpPr/>
      </xdr:nvSpPr>
      <xdr:spPr>
        <a:xfrm>
          <a:off x="11513820" y="1535430"/>
          <a:ext cx="8547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9</xdr:row>
      <xdr:rowOff>76200</xdr:rowOff>
    </xdr:from>
    <xdr:to>
      <xdr:col>60</xdr:col>
      <xdr:colOff>0</xdr:colOff>
      <xdr:row>9</xdr:row>
      <xdr:rowOff>76200</xdr:rowOff>
    </xdr:to>
    <xdr:cxnSp macro="">
      <xdr:nvCxnSpPr>
        <xdr:cNvPr id="23971" name="직선 화살표 연결선 23970">
          <a:extLst>
            <a:ext uri="{FF2B5EF4-FFF2-40B4-BE49-F238E27FC236}">
              <a16:creationId xmlns:a16="http://schemas.microsoft.com/office/drawing/2014/main" id="{4BD2A58A-83DA-4B1A-B1AE-4326A96E3D85}"/>
            </a:ext>
          </a:extLst>
        </xdr:cNvPr>
        <xdr:cNvCxnSpPr/>
      </xdr:nvCxnSpPr>
      <xdr:spPr>
        <a:xfrm>
          <a:off x="11513820" y="1592580"/>
          <a:ext cx="8534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0</xdr:colOff>
      <xdr:row>8</xdr:row>
      <xdr:rowOff>19050</xdr:rowOff>
    </xdr:from>
    <xdr:to>
      <xdr:col>45</xdr:col>
      <xdr:colOff>1270</xdr:colOff>
      <xdr:row>8</xdr:row>
      <xdr:rowOff>133350</xdr:rowOff>
    </xdr:to>
    <xdr:sp macro="" textlink="">
      <xdr:nvSpPr>
        <xdr:cNvPr id="23972" name="5">
          <a:extLst>
            <a:ext uri="{FF2B5EF4-FFF2-40B4-BE49-F238E27FC236}">
              <a16:creationId xmlns:a16="http://schemas.microsoft.com/office/drawing/2014/main" id="{782B8205-417C-4D0A-B78B-135AC9E08517}"/>
            </a:ext>
          </a:extLst>
        </xdr:cNvPr>
        <xdr:cNvSpPr/>
      </xdr:nvSpPr>
      <xdr:spPr>
        <a:xfrm>
          <a:off x="11391900" y="138303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0</xdr:colOff>
      <xdr:row>8</xdr:row>
      <xdr:rowOff>76200</xdr:rowOff>
    </xdr:from>
    <xdr:to>
      <xdr:col>45</xdr:col>
      <xdr:colOff>0</xdr:colOff>
      <xdr:row>8</xdr:row>
      <xdr:rowOff>76200</xdr:rowOff>
    </xdr:to>
    <xdr:cxnSp macro="">
      <xdr:nvCxnSpPr>
        <xdr:cNvPr id="23973" name="직선 화살표 연결선 23972">
          <a:extLst>
            <a:ext uri="{FF2B5EF4-FFF2-40B4-BE49-F238E27FC236}">
              <a16:creationId xmlns:a16="http://schemas.microsoft.com/office/drawing/2014/main" id="{3391C883-8336-4E58-AA1F-FDE13611AE35}"/>
            </a:ext>
          </a:extLst>
        </xdr:cNvPr>
        <xdr:cNvCxnSpPr/>
      </xdr:nvCxnSpPr>
      <xdr:spPr>
        <a:xfrm>
          <a:off x="11391900" y="1440180"/>
          <a:ext cx="609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7</xdr:row>
      <xdr:rowOff>19050</xdr:rowOff>
    </xdr:from>
    <xdr:to>
      <xdr:col>44</xdr:col>
      <xdr:colOff>1270</xdr:colOff>
      <xdr:row>7</xdr:row>
      <xdr:rowOff>133350</xdr:rowOff>
    </xdr:to>
    <xdr:sp macro="" textlink="">
      <xdr:nvSpPr>
        <xdr:cNvPr id="23974" name="4">
          <a:extLst>
            <a:ext uri="{FF2B5EF4-FFF2-40B4-BE49-F238E27FC236}">
              <a16:creationId xmlns:a16="http://schemas.microsoft.com/office/drawing/2014/main" id="{6924D7DE-B8A6-4E4D-90AF-D83BE7B17F47}"/>
            </a:ext>
          </a:extLst>
        </xdr:cNvPr>
        <xdr:cNvSpPr/>
      </xdr:nvSpPr>
      <xdr:spPr>
        <a:xfrm>
          <a:off x="11148060" y="1230630"/>
          <a:ext cx="2451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7</xdr:row>
      <xdr:rowOff>76200</xdr:rowOff>
    </xdr:from>
    <xdr:to>
      <xdr:col>44</xdr:col>
      <xdr:colOff>0</xdr:colOff>
      <xdr:row>7</xdr:row>
      <xdr:rowOff>76200</xdr:rowOff>
    </xdr:to>
    <xdr:cxnSp macro="">
      <xdr:nvCxnSpPr>
        <xdr:cNvPr id="23975" name="직선 화살표 연결선 23974">
          <a:extLst>
            <a:ext uri="{FF2B5EF4-FFF2-40B4-BE49-F238E27FC236}">
              <a16:creationId xmlns:a16="http://schemas.microsoft.com/office/drawing/2014/main" id="{D385C483-376B-48AC-94F7-D49A026DACAF}"/>
            </a:ext>
          </a:extLst>
        </xdr:cNvPr>
        <xdr:cNvCxnSpPr/>
      </xdr:nvCxnSpPr>
      <xdr:spPr>
        <a:xfrm>
          <a:off x="11148060" y="1287780"/>
          <a:ext cx="243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6</xdr:row>
      <xdr:rowOff>19050</xdr:rowOff>
    </xdr:from>
    <xdr:to>
      <xdr:col>40</xdr:col>
      <xdr:colOff>1270</xdr:colOff>
      <xdr:row>6</xdr:row>
      <xdr:rowOff>133350</xdr:rowOff>
    </xdr:to>
    <xdr:sp macro="" textlink="">
      <xdr:nvSpPr>
        <xdr:cNvPr id="23976" name="3">
          <a:extLst>
            <a:ext uri="{FF2B5EF4-FFF2-40B4-BE49-F238E27FC236}">
              <a16:creationId xmlns:a16="http://schemas.microsoft.com/office/drawing/2014/main" id="{E314A789-B18F-4EF4-AD00-9A2501D34D2A}"/>
            </a:ext>
          </a:extLst>
        </xdr:cNvPr>
        <xdr:cNvSpPr/>
      </xdr:nvSpPr>
      <xdr:spPr>
        <a:xfrm>
          <a:off x="10904220" y="1078230"/>
          <a:ext cx="2451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6</xdr:row>
      <xdr:rowOff>76200</xdr:rowOff>
    </xdr:from>
    <xdr:to>
      <xdr:col>40</xdr:col>
      <xdr:colOff>0</xdr:colOff>
      <xdr:row>6</xdr:row>
      <xdr:rowOff>76200</xdr:rowOff>
    </xdr:to>
    <xdr:cxnSp macro="">
      <xdr:nvCxnSpPr>
        <xdr:cNvPr id="23977" name="직선 화살표 연결선 23976">
          <a:extLst>
            <a:ext uri="{FF2B5EF4-FFF2-40B4-BE49-F238E27FC236}">
              <a16:creationId xmlns:a16="http://schemas.microsoft.com/office/drawing/2014/main" id="{80242CDD-4BE3-4B53-A43F-9D23E204A7E7}"/>
            </a:ext>
          </a:extLst>
        </xdr:cNvPr>
        <xdr:cNvCxnSpPr/>
      </xdr:nvCxnSpPr>
      <xdr:spPr>
        <a:xfrm>
          <a:off x="10904220" y="1135380"/>
          <a:ext cx="243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5</xdr:row>
      <xdr:rowOff>19050</xdr:rowOff>
    </xdr:from>
    <xdr:to>
      <xdr:col>45</xdr:col>
      <xdr:colOff>1270</xdr:colOff>
      <xdr:row>5</xdr:row>
      <xdr:rowOff>133350</xdr:rowOff>
    </xdr:to>
    <xdr:sp macro="" textlink="">
      <xdr:nvSpPr>
        <xdr:cNvPr id="23978" name="2">
          <a:extLst>
            <a:ext uri="{FF2B5EF4-FFF2-40B4-BE49-F238E27FC236}">
              <a16:creationId xmlns:a16="http://schemas.microsoft.com/office/drawing/2014/main" id="{90EB2B0B-CECD-4ECC-A0C6-A1929ED716EE}"/>
            </a:ext>
          </a:extLst>
        </xdr:cNvPr>
        <xdr:cNvSpPr/>
      </xdr:nvSpPr>
      <xdr:spPr>
        <a:xfrm>
          <a:off x="10904220" y="925830"/>
          <a:ext cx="5499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5</xdr:row>
      <xdr:rowOff>76200</xdr:rowOff>
    </xdr:from>
    <xdr:to>
      <xdr:col>45</xdr:col>
      <xdr:colOff>0</xdr:colOff>
      <xdr:row>5</xdr:row>
      <xdr:rowOff>76200</xdr:rowOff>
    </xdr:to>
    <xdr:cxnSp macro="">
      <xdr:nvCxnSpPr>
        <xdr:cNvPr id="23979" name="직선 화살표 연결선 23978">
          <a:extLst>
            <a:ext uri="{FF2B5EF4-FFF2-40B4-BE49-F238E27FC236}">
              <a16:creationId xmlns:a16="http://schemas.microsoft.com/office/drawing/2014/main" id="{483899C9-090E-4041-AD36-A791CC2E81CC}"/>
            </a:ext>
          </a:extLst>
        </xdr:cNvPr>
        <xdr:cNvCxnSpPr/>
      </xdr:nvCxnSpPr>
      <xdr:spPr>
        <a:xfrm>
          <a:off x="10904220" y="982980"/>
          <a:ext cx="5486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xdr:row>
      <xdr:rowOff>19050</xdr:rowOff>
    </xdr:from>
    <xdr:to>
      <xdr:col>79</xdr:col>
      <xdr:colOff>1270</xdr:colOff>
      <xdr:row>4</xdr:row>
      <xdr:rowOff>133350</xdr:rowOff>
    </xdr:to>
    <xdr:sp macro="" textlink="">
      <xdr:nvSpPr>
        <xdr:cNvPr id="23980" name="1">
          <a:extLst>
            <a:ext uri="{FF2B5EF4-FFF2-40B4-BE49-F238E27FC236}">
              <a16:creationId xmlns:a16="http://schemas.microsoft.com/office/drawing/2014/main" id="{A70BA577-902F-4329-8B08-F027E1F77F1A}"/>
            </a:ext>
          </a:extLst>
        </xdr:cNvPr>
        <xdr:cNvSpPr/>
      </xdr:nvSpPr>
      <xdr:spPr>
        <a:xfrm>
          <a:off x="10904220" y="773430"/>
          <a:ext cx="26225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xdr:row>
      <xdr:rowOff>76200</xdr:rowOff>
    </xdr:from>
    <xdr:to>
      <xdr:col>79</xdr:col>
      <xdr:colOff>0</xdr:colOff>
      <xdr:row>4</xdr:row>
      <xdr:rowOff>76200</xdr:rowOff>
    </xdr:to>
    <xdr:cxnSp macro="">
      <xdr:nvCxnSpPr>
        <xdr:cNvPr id="23981" name="직선 화살표 연결선 23980">
          <a:extLst>
            <a:ext uri="{FF2B5EF4-FFF2-40B4-BE49-F238E27FC236}">
              <a16:creationId xmlns:a16="http://schemas.microsoft.com/office/drawing/2014/main" id="{A6D1FF4B-7662-4F6C-87F8-66F0C8C8B64B}"/>
            </a:ext>
          </a:extLst>
        </xdr:cNvPr>
        <xdr:cNvCxnSpPr/>
      </xdr:nvCxnSpPr>
      <xdr:spPr>
        <a:xfrm>
          <a:off x="10904220" y="830580"/>
          <a:ext cx="26212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173831</xdr:colOff>
      <xdr:row>5</xdr:row>
      <xdr:rowOff>0</xdr:rowOff>
    </xdr:from>
    <xdr:to>
      <xdr:col>18</xdr:col>
      <xdr:colOff>573881</xdr:colOff>
      <xdr:row>17</xdr:row>
      <xdr:rowOff>76200</xdr:rowOff>
    </xdr:to>
    <xdr:graphicFrame macro="">
      <xdr:nvGraphicFramePr>
        <xdr:cNvPr id="3" name="차트 2">
          <a:extLst>
            <a:ext uri="{FF2B5EF4-FFF2-40B4-BE49-F238E27FC236}">
              <a16:creationId xmlns:a16="http://schemas.microsoft.com/office/drawing/2014/main" id="{E4DBBB98-92DE-478E-A490-E16087F27A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 TargetMode="External"/><Relationship Id="rId13" Type="http://schemas.openxmlformats.org/officeDocument/2006/relationships/hyperlink" Target="https://xlworks.net/xlgantt-howto-12-integration-with-excel/" TargetMode="External"/><Relationship Id="rId3" Type="http://schemas.openxmlformats.org/officeDocument/2006/relationships/hyperlink" Target="https://xlworks.net/xlgantt_howto_02_task/" TargetMode="External"/><Relationship Id="rId7" Type="http://schemas.openxmlformats.org/officeDocument/2006/relationships/hyperlink" Target="https://xlworks.net/xlgantt-howto-07-deliverables/" TargetMode="External"/><Relationship Id="rId12" Type="http://schemas.openxmlformats.org/officeDocument/2006/relationships/hyperlink" Target="https://xlworks.net/xlgantt-howto-11-calendar/" TargetMode="External"/><Relationship Id="rId2" Type="http://schemas.openxmlformats.org/officeDocument/2006/relationships/hyperlink" Target="https://xlworks.net/xlgantt_easy_tip/" TargetMode="External"/><Relationship Id="rId16" Type="http://schemas.openxmlformats.org/officeDocument/2006/relationships/printerSettings" Target="../printerSettings/printerSettings2.bin"/><Relationship Id="rId1" Type="http://schemas.openxmlformats.org/officeDocument/2006/relationships/hyperlink" Target="https://xlworks.net/" TargetMode="External"/><Relationship Id="rId6" Type="http://schemas.openxmlformats.org/officeDocument/2006/relationships/hyperlink" Target="https://xlworks.net/xlgantt_howto_06_schedule_change_management/" TargetMode="External"/><Relationship Id="rId11" Type="http://schemas.openxmlformats.org/officeDocument/2006/relationships/hyperlink" Target="https://xlworks.net/xlgantt-howto-10-import-schedule/" TargetMode="External"/><Relationship Id="rId5" Type="http://schemas.openxmlformats.org/officeDocument/2006/relationships/hyperlink" Target="https://xlworks.net/xlgantt_howto_05_analysis_report/" TargetMode="External"/><Relationship Id="rId15" Type="http://schemas.openxmlformats.org/officeDocument/2006/relationships/hyperlink" Target="https://xlworks.net/en/xlgantt-howto-13-server-data" TargetMode="External"/><Relationship Id="rId10" Type="http://schemas.openxmlformats.org/officeDocument/2006/relationships/hyperlink" Target="https://xlworks.net/xlgantt-howto-09-multilingual-support/" TargetMode="External"/><Relationship Id="rId4" Type="http://schemas.openxmlformats.org/officeDocument/2006/relationships/hyperlink" Target="https://xlworks.net/xlgantt_howto_03_gantt_chart/" TargetMode="External"/><Relationship Id="rId9" Type="http://schemas.openxmlformats.org/officeDocument/2006/relationships/hyperlink" Target="https://xlworks.net/xlgantt-howto-08-add-tasks-to-outlook/" TargetMode="External"/><Relationship Id="rId14" Type="http://schemas.openxmlformats.org/officeDocument/2006/relationships/hyperlink" Target="https://xlworks.net/xlgantt_howto_04_project_progress/"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27" sqref="C27"/>
    </sheetView>
  </sheetViews>
  <sheetFormatPr defaultColWidth="10" defaultRowHeight="13.8"/>
  <cols>
    <col min="1" max="1" width="28.19921875" style="73" bestFit="1" customWidth="1"/>
    <col min="2" max="2" width="23.09765625" style="70" bestFit="1" customWidth="1"/>
    <col min="3" max="3" width="53.3984375" style="70" bestFit="1" customWidth="1"/>
    <col min="4" max="4" width="27.3984375" style="70" bestFit="1" customWidth="1"/>
    <col min="5" max="5" width="12.8984375" style="70" bestFit="1" customWidth="1"/>
    <col min="6" max="6" width="17.69921875" style="70" bestFit="1" customWidth="1"/>
    <col min="7" max="7" width="21.8984375" style="73" bestFit="1" customWidth="1"/>
    <col min="8" max="8" width="23.69921875" style="73" bestFit="1" customWidth="1"/>
    <col min="9" max="9" width="9.69921875" style="73" bestFit="1" customWidth="1"/>
    <col min="10" max="10" width="25.09765625" style="73" bestFit="1" customWidth="1"/>
    <col min="11" max="11" width="60.69921875" style="73" bestFit="1" customWidth="1"/>
    <col min="12" max="12" width="25.09765625" style="73" bestFit="1" customWidth="1"/>
    <col min="13" max="13" width="4.8984375" style="73" bestFit="1" customWidth="1"/>
    <col min="14" max="14" width="23" style="73" bestFit="1" customWidth="1"/>
    <col min="15" max="15" width="14.5" style="73" customWidth="1"/>
    <col min="16" max="16" width="28.3984375" style="73" bestFit="1" customWidth="1"/>
    <col min="17" max="17" width="9.5" style="73" bestFit="1" customWidth="1"/>
    <col min="18" max="18" width="27.69921875" style="73" bestFit="1" customWidth="1"/>
    <col min="19" max="19" width="4.8984375" style="73" bestFit="1" customWidth="1"/>
    <col min="20" max="20" width="25" style="73" bestFit="1" customWidth="1"/>
    <col min="21" max="21" width="4.3984375" style="73" bestFit="1" customWidth="1"/>
    <col min="22" max="22" width="23" style="73" bestFit="1" customWidth="1"/>
    <col min="23" max="23" width="8.09765625" style="73" bestFit="1" customWidth="1"/>
    <col min="24" max="24" width="22.59765625" style="73" bestFit="1" customWidth="1"/>
    <col min="25" max="25" width="9.5" style="73" bestFit="1" customWidth="1"/>
    <col min="26" max="26" width="26.19921875" style="73" bestFit="1" customWidth="1"/>
    <col min="27" max="27" width="7.8984375" style="73" bestFit="1" customWidth="1"/>
    <col min="28" max="28" width="21.19921875" style="73" bestFit="1" customWidth="1"/>
    <col min="29" max="29" width="15.59765625" style="73" bestFit="1" customWidth="1"/>
    <col min="30" max="30" width="23.5" style="73" bestFit="1" customWidth="1"/>
    <col min="31" max="31" width="39.59765625" style="73" bestFit="1" customWidth="1"/>
    <col min="32" max="32" width="22.59765625" style="73" bestFit="1" customWidth="1"/>
    <col min="33" max="33" width="60.8984375" style="73" bestFit="1" customWidth="1"/>
    <col min="34" max="34" width="28.3984375" style="73" bestFit="1" customWidth="1"/>
    <col min="35" max="35" width="11.5" style="73" bestFit="1" customWidth="1"/>
    <col min="36" max="36" width="25.09765625" style="73" bestFit="1" customWidth="1"/>
    <col min="37" max="37" width="4" style="73" bestFit="1" customWidth="1"/>
    <col min="38" max="38" width="14.8984375" style="73" bestFit="1" customWidth="1"/>
    <col min="39" max="39" width="11.59765625" style="73" bestFit="1" customWidth="1"/>
    <col min="40" max="40" width="22.59765625" style="73" bestFit="1" customWidth="1"/>
    <col min="41" max="41" width="5.8984375" style="73" bestFit="1" customWidth="1"/>
    <col min="42" max="42" width="15.8984375" style="73" bestFit="1" customWidth="1"/>
    <col min="43" max="43" width="44.69921875" style="73" bestFit="1" customWidth="1"/>
    <col min="44" max="44" width="13.19921875" style="73" bestFit="1" customWidth="1"/>
    <col min="45" max="45" width="3.19921875" style="73" bestFit="1" customWidth="1"/>
    <col min="46" max="46" width="14.8984375" style="73" bestFit="1" customWidth="1"/>
    <col min="47" max="47" width="28.59765625" style="73" bestFit="1" customWidth="1"/>
    <col min="48" max="48" width="22.59765625" style="73" bestFit="1" customWidth="1"/>
    <col min="49" max="49" width="5.3984375" style="73" bestFit="1" customWidth="1"/>
    <col min="50" max="50" width="15.8984375" style="73" bestFit="1" customWidth="1"/>
    <col min="51" max="51" width="10" style="73"/>
    <col min="52" max="52" width="13.19921875" style="73" bestFit="1" customWidth="1"/>
    <col min="53" max="53" width="10" style="73"/>
    <col min="54" max="54" width="14.8984375" style="73" bestFit="1" customWidth="1"/>
    <col min="55" max="55" width="10" style="73"/>
    <col min="56" max="56" width="22.59765625" style="73" bestFit="1" customWidth="1"/>
    <col min="57" max="57" width="10" style="73"/>
    <col min="58" max="58" width="15.8984375" style="73" bestFit="1" customWidth="1"/>
    <col min="59" max="59" width="10" style="73"/>
    <col min="60" max="60" width="13.19921875" style="73" bestFit="1" customWidth="1"/>
    <col min="61" max="61" width="10" style="73"/>
    <col min="62" max="62" width="14.8984375" style="73" bestFit="1" customWidth="1"/>
    <col min="63" max="63" width="10" style="73"/>
    <col min="64" max="64" width="22.59765625" style="73" bestFit="1" customWidth="1"/>
    <col min="65" max="65" width="10" style="73"/>
    <col min="66" max="66" width="33.699218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388</v>
      </c>
      <c r="B3" s="72" t="s">
        <v>10</v>
      </c>
      <c r="C3" s="72"/>
      <c r="D3" s="72"/>
      <c r="E3" s="72" t="s">
        <v>11</v>
      </c>
      <c r="F3" s="72"/>
    </row>
    <row r="4" spans="1:64">
      <c r="A4" s="71" t="s">
        <v>12</v>
      </c>
      <c r="B4" s="82" t="s">
        <v>389</v>
      </c>
      <c r="C4" s="72"/>
      <c r="D4" s="72"/>
      <c r="E4" s="72" t="s">
        <v>11</v>
      </c>
      <c r="F4" s="72"/>
    </row>
    <row r="5" spans="1:64">
      <c r="A5" s="71" t="s">
        <v>13</v>
      </c>
      <c r="B5" s="72" t="s">
        <v>14</v>
      </c>
      <c r="C5" s="72"/>
      <c r="D5" s="72"/>
      <c r="E5" s="72" t="s">
        <v>11</v>
      </c>
      <c r="F5" s="72"/>
    </row>
    <row r="6" spans="1:64">
      <c r="A6" s="71" t="s">
        <v>15</v>
      </c>
      <c r="B6" s="82" t="s">
        <v>16</v>
      </c>
      <c r="C6" s="72"/>
      <c r="D6" s="72"/>
      <c r="E6" s="72" t="s">
        <v>11</v>
      </c>
      <c r="F6" s="72"/>
    </row>
    <row r="7" spans="1:64">
      <c r="A7" s="71" t="s">
        <v>17</v>
      </c>
      <c r="B7" s="71" t="s">
        <v>10</v>
      </c>
      <c r="C7" s="72"/>
      <c r="D7" s="72"/>
      <c r="E7" s="72" t="s">
        <v>11</v>
      </c>
      <c r="F7" s="72"/>
    </row>
    <row r="8" spans="1:64">
      <c r="A8" s="71" t="s">
        <v>18</v>
      </c>
      <c r="B8" s="74" t="s">
        <v>1267</v>
      </c>
      <c r="C8" s="72" t="s">
        <v>1449</v>
      </c>
      <c r="D8" s="72">
        <v>82</v>
      </c>
      <c r="E8" s="72" t="s">
        <v>19</v>
      </c>
      <c r="F8" s="72"/>
    </row>
    <row r="9" spans="1:64">
      <c r="A9" s="71" t="s">
        <v>20</v>
      </c>
      <c r="B9" s="75">
        <v>44044</v>
      </c>
      <c r="C9" s="72"/>
      <c r="D9" s="72"/>
      <c r="E9" s="72" t="s">
        <v>11</v>
      </c>
      <c r="F9" s="72"/>
    </row>
    <row r="10" spans="1:64">
      <c r="A10" s="76" t="s">
        <v>21</v>
      </c>
      <c r="B10" s="77" t="s">
        <v>22</v>
      </c>
      <c r="C10" s="77"/>
      <c r="D10" s="77"/>
      <c r="E10" s="77" t="s">
        <v>11</v>
      </c>
      <c r="F10" s="77"/>
    </row>
    <row r="11" spans="1:64">
      <c r="A11" s="73" t="s">
        <v>390</v>
      </c>
      <c r="B11" s="78" t="s">
        <v>23</v>
      </c>
      <c r="C11" s="70" t="s">
        <v>1568</v>
      </c>
      <c r="D11" s="70" t="s">
        <v>24</v>
      </c>
      <c r="E11" s="79">
        <v>1</v>
      </c>
      <c r="F11" s="80" t="s">
        <v>25</v>
      </c>
      <c r="G11" s="81">
        <v>44078</v>
      </c>
      <c r="H11" s="80" t="s">
        <v>26</v>
      </c>
      <c r="I11" s="81">
        <v>44165</v>
      </c>
      <c r="J11" s="73" t="s">
        <v>407</v>
      </c>
      <c r="K11" s="73" t="s">
        <v>1450</v>
      </c>
      <c r="L11" s="73" t="s">
        <v>404</v>
      </c>
      <c r="M11" s="73">
        <v>1</v>
      </c>
      <c r="N11" s="78" t="s">
        <v>27</v>
      </c>
      <c r="O11" s="70">
        <v>0</v>
      </c>
      <c r="P11" s="70" t="s">
        <v>28</v>
      </c>
      <c r="Q11" s="78" t="s">
        <v>1469</v>
      </c>
      <c r="R11" s="73" t="s">
        <v>409</v>
      </c>
      <c r="S11" s="73">
        <v>1</v>
      </c>
      <c r="T11" s="73" t="s">
        <v>414</v>
      </c>
      <c r="U11" s="73">
        <v>1</v>
      </c>
      <c r="V11" s="73" t="s">
        <v>415</v>
      </c>
      <c r="W11" s="73">
        <v>1</v>
      </c>
      <c r="X11" s="73" t="s">
        <v>418</v>
      </c>
      <c r="Y11" s="73">
        <v>1</v>
      </c>
      <c r="Z11" s="73" t="s">
        <v>576</v>
      </c>
      <c r="AA11" s="73">
        <v>0</v>
      </c>
      <c r="AB11" s="73" t="s">
        <v>979</v>
      </c>
      <c r="AC11" s="73">
        <v>0</v>
      </c>
      <c r="AD11" s="73" t="s">
        <v>1013</v>
      </c>
      <c r="AE11" s="73">
        <v>1</v>
      </c>
      <c r="AF11" s="73" t="s">
        <v>1294</v>
      </c>
      <c r="AG11" s="73">
        <v>1</v>
      </c>
    </row>
    <row r="12" spans="1:64">
      <c r="A12" s="73" t="s">
        <v>393</v>
      </c>
      <c r="B12" s="73" t="s">
        <v>394</v>
      </c>
      <c r="C12" s="73">
        <v>1</v>
      </c>
      <c r="D12" s="73" t="s">
        <v>395</v>
      </c>
      <c r="E12" s="73">
        <v>1</v>
      </c>
      <c r="F12" s="73" t="s">
        <v>396</v>
      </c>
      <c r="G12" s="73">
        <v>0</v>
      </c>
      <c r="H12" s="73" t="s">
        <v>397</v>
      </c>
      <c r="I12" s="73">
        <v>1</v>
      </c>
      <c r="J12" s="73" t="s">
        <v>398</v>
      </c>
      <c r="K12" s="73">
        <v>0.7</v>
      </c>
      <c r="L12" s="73" t="s">
        <v>399</v>
      </c>
      <c r="M12" s="73">
        <v>2</v>
      </c>
      <c r="N12" s="73" t="s">
        <v>400</v>
      </c>
      <c r="O12" s="73">
        <v>1</v>
      </c>
      <c r="P12" s="73" t="s">
        <v>403</v>
      </c>
      <c r="Q12" s="73">
        <v>1</v>
      </c>
      <c r="R12" s="73" t="s">
        <v>410</v>
      </c>
      <c r="S12" s="73">
        <v>1</v>
      </c>
      <c r="T12" s="73" t="s">
        <v>411</v>
      </c>
      <c r="U12" s="73">
        <v>0</v>
      </c>
      <c r="V12" s="73" t="s">
        <v>412</v>
      </c>
      <c r="W12" s="73">
        <v>100</v>
      </c>
      <c r="X12" s="73" t="s">
        <v>413</v>
      </c>
      <c r="Y12" s="73">
        <v>0</v>
      </c>
      <c r="Z12" s="73" t="s">
        <v>416</v>
      </c>
      <c r="AA12" s="73">
        <v>1</v>
      </c>
      <c r="AB12" s="73" t="s">
        <v>417</v>
      </c>
      <c r="AC12" s="73">
        <v>1</v>
      </c>
      <c r="AD12" s="73" t="s">
        <v>535</v>
      </c>
      <c r="AE12" s="73">
        <v>1</v>
      </c>
      <c r="AF12" s="73" t="s">
        <v>549</v>
      </c>
      <c r="AG12" s="73">
        <v>0</v>
      </c>
      <c r="AH12" s="73" t="s">
        <v>986</v>
      </c>
      <c r="AI12" s="73">
        <v>9</v>
      </c>
      <c r="AJ12" s="73" t="s">
        <v>1290</v>
      </c>
      <c r="AK12" s="73">
        <v>1</v>
      </c>
      <c r="AL12" s="73" t="s">
        <v>1291</v>
      </c>
      <c r="AM12" s="73">
        <v>1</v>
      </c>
      <c r="AN12" s="73" t="s">
        <v>1292</v>
      </c>
      <c r="AO12" s="73">
        <v>1</v>
      </c>
      <c r="AP12" s="73" t="s">
        <v>1293</v>
      </c>
      <c r="AQ12" s="147" t="s">
        <v>1451</v>
      </c>
    </row>
    <row r="13" spans="1:64">
      <c r="A13" s="72" t="s">
        <v>391</v>
      </c>
      <c r="B13" s="78" t="s">
        <v>29</v>
      </c>
      <c r="C13" s="70">
        <v>1</v>
      </c>
      <c r="D13" s="78" t="s">
        <v>30</v>
      </c>
      <c r="E13" s="70" t="s">
        <v>1448</v>
      </c>
      <c r="F13" s="70" t="s">
        <v>31</v>
      </c>
      <c r="G13" s="80" t="s">
        <v>537</v>
      </c>
      <c r="H13" s="80" t="s">
        <v>32</v>
      </c>
      <c r="I13" s="73" t="s">
        <v>537</v>
      </c>
    </row>
    <row r="14" spans="1:64">
      <c r="A14" s="72" t="s">
        <v>392</v>
      </c>
      <c r="B14" s="79" t="s">
        <v>33</v>
      </c>
      <c r="C14" s="79" t="s">
        <v>1397</v>
      </c>
      <c r="D14" s="79" t="s">
        <v>34</v>
      </c>
      <c r="E14" s="79" t="s">
        <v>550</v>
      </c>
      <c r="F14" s="79" t="s">
        <v>35</v>
      </c>
      <c r="G14" s="79" t="s">
        <v>1398</v>
      </c>
      <c r="H14" s="79" t="s">
        <v>36</v>
      </c>
      <c r="I14" s="79" t="b">
        <v>0</v>
      </c>
      <c r="J14" s="79" t="s">
        <v>37</v>
      </c>
      <c r="K14" s="79" t="s">
        <v>1399</v>
      </c>
      <c r="L14" s="79" t="s">
        <v>38</v>
      </c>
      <c r="M14" s="79" t="s">
        <v>562</v>
      </c>
      <c r="N14" s="79" t="s">
        <v>39</v>
      </c>
      <c r="O14" s="79" t="s">
        <v>1398</v>
      </c>
      <c r="P14" s="79" t="s">
        <v>40</v>
      </c>
      <c r="Q14" s="79" t="b">
        <v>0</v>
      </c>
      <c r="R14" s="79" t="s">
        <v>41</v>
      </c>
      <c r="S14" s="79" t="s">
        <v>1400</v>
      </c>
      <c r="T14" s="79" t="s">
        <v>42</v>
      </c>
      <c r="U14" s="79" t="s">
        <v>563</v>
      </c>
      <c r="V14" s="79" t="s">
        <v>43</v>
      </c>
      <c r="W14" s="79" t="s">
        <v>1398</v>
      </c>
      <c r="X14" s="79" t="s">
        <v>44</v>
      </c>
      <c r="Y14" s="79" t="b">
        <v>1</v>
      </c>
      <c r="Z14" s="79" t="s">
        <v>45</v>
      </c>
      <c r="AA14" s="79" t="s">
        <v>1017</v>
      </c>
      <c r="AB14" s="79" t="s">
        <v>46</v>
      </c>
      <c r="AC14" s="79" t="s">
        <v>1016</v>
      </c>
      <c r="AD14" s="79" t="s">
        <v>47</v>
      </c>
      <c r="AE14" s="79" t="s">
        <v>1018</v>
      </c>
      <c r="AF14" s="79" t="s">
        <v>48</v>
      </c>
      <c r="AG14" s="79" t="b">
        <v>1</v>
      </c>
      <c r="AH14" s="79" t="s">
        <v>49</v>
      </c>
      <c r="AI14" s="79" t="s">
        <v>1019</v>
      </c>
      <c r="AJ14" s="79" t="s">
        <v>50</v>
      </c>
      <c r="AK14" s="79" t="s">
        <v>1020</v>
      </c>
      <c r="AL14" s="79" t="s">
        <v>51</v>
      </c>
      <c r="AM14" s="79" t="s">
        <v>1021</v>
      </c>
      <c r="AN14" s="79" t="s">
        <v>52</v>
      </c>
      <c r="AO14" s="79" t="b">
        <v>0</v>
      </c>
      <c r="AP14" s="79" t="s">
        <v>53</v>
      </c>
      <c r="AQ14" s="79" t="s">
        <v>552</v>
      </c>
      <c r="AR14" s="79" t="s">
        <v>54</v>
      </c>
      <c r="AS14" s="79" t="s">
        <v>564</v>
      </c>
      <c r="AT14" s="79" t="s">
        <v>55</v>
      </c>
      <c r="AU14" s="79" t="s">
        <v>568</v>
      </c>
      <c r="AV14" s="79" t="s">
        <v>56</v>
      </c>
      <c r="AW14" s="79" t="b">
        <v>1</v>
      </c>
      <c r="AX14" s="73" t="s">
        <v>57</v>
      </c>
      <c r="AZ14" s="73" t="s">
        <v>58</v>
      </c>
      <c r="BB14" s="73" t="s">
        <v>59</v>
      </c>
      <c r="BD14" s="73" t="s">
        <v>60</v>
      </c>
      <c r="BF14" s="73" t="s">
        <v>61</v>
      </c>
      <c r="BH14" s="73" t="s">
        <v>62</v>
      </c>
      <c r="BJ14" s="73" t="s">
        <v>63</v>
      </c>
      <c r="BL14" s="73" t="s">
        <v>64</v>
      </c>
    </row>
    <row r="15" spans="1:64">
      <c r="A15" s="72" t="s">
        <v>408</v>
      </c>
      <c r="B15" s="73" t="s">
        <v>401</v>
      </c>
      <c r="C15" s="73">
        <v>1</v>
      </c>
      <c r="D15" s="73" t="s">
        <v>402</v>
      </c>
      <c r="E15" s="73">
        <v>82</v>
      </c>
      <c r="F15" s="73" t="s">
        <v>405</v>
      </c>
      <c r="G15" s="73" t="s">
        <v>566</v>
      </c>
      <c r="H15" s="73" t="s">
        <v>406</v>
      </c>
      <c r="I15" s="73">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4"/>
  <sheetViews>
    <sheetView showGridLines="0" topLeftCell="A17" zoomScale="90" zoomScaleNormal="90" workbookViewId="0">
      <selection activeCell="L19" sqref="L19"/>
    </sheetView>
  </sheetViews>
  <sheetFormatPr defaultColWidth="9" defaultRowHeight="15.6"/>
  <cols>
    <col min="1" max="1" width="5.8984375" style="114" customWidth="1"/>
    <col min="2" max="2" width="29.8984375" style="136" customWidth="1"/>
    <col min="3" max="3" width="1.19921875" style="114" customWidth="1"/>
    <col min="4" max="11" width="9" style="114"/>
    <col min="12" max="12" width="19.5" style="114" customWidth="1"/>
    <col min="13" max="26" width="9" style="114"/>
    <col min="27" max="27" width="0" style="114" hidden="1" customWidth="1"/>
    <col min="28" max="16384" width="9" style="114"/>
  </cols>
  <sheetData>
    <row r="1" spans="1:12" ht="20.25" customHeight="1">
      <c r="A1" s="242" t="s">
        <v>1336</v>
      </c>
      <c r="B1" s="242"/>
      <c r="C1" s="242"/>
      <c r="D1" s="242"/>
      <c r="E1" s="242"/>
      <c r="F1" s="242"/>
      <c r="G1" s="242"/>
      <c r="H1" s="113"/>
      <c r="I1" s="113"/>
      <c r="J1" s="245" t="s">
        <v>1268</v>
      </c>
      <c r="K1" s="245"/>
      <c r="L1" s="245"/>
    </row>
    <row r="2" spans="1:12" s="115" customFormat="1" ht="33.75" customHeight="1">
      <c r="A2" s="243"/>
      <c r="B2" s="243"/>
      <c r="C2" s="243"/>
      <c r="D2" s="243"/>
      <c r="E2" s="243"/>
      <c r="F2" s="243"/>
      <c r="G2" s="243"/>
      <c r="H2" s="138"/>
      <c r="I2" s="246" t="s">
        <v>1337</v>
      </c>
      <c r="J2" s="247"/>
      <c r="K2" s="247"/>
      <c r="L2" s="247"/>
    </row>
    <row r="4" spans="1:12" ht="17.25" customHeight="1">
      <c r="B4" s="248" t="s">
        <v>1338</v>
      </c>
      <c r="C4" s="248"/>
      <c r="D4" s="248"/>
      <c r="E4" s="248"/>
      <c r="F4" s="248"/>
      <c r="G4" s="248"/>
      <c r="H4" s="248"/>
      <c r="I4" s="248"/>
      <c r="J4" s="248"/>
      <c r="K4" s="248"/>
      <c r="L4" s="248"/>
    </row>
    <row r="5" spans="1:12" ht="27.75" customHeight="1">
      <c r="B5" s="248"/>
      <c r="C5" s="248"/>
      <c r="D5" s="248"/>
      <c r="E5" s="248"/>
      <c r="F5" s="248"/>
      <c r="G5" s="248"/>
      <c r="H5" s="248"/>
      <c r="I5" s="248"/>
      <c r="J5" s="248"/>
      <c r="K5" s="248"/>
      <c r="L5" s="248"/>
    </row>
    <row r="6" spans="1:12" s="115" customFormat="1" ht="13.8">
      <c r="B6" s="116"/>
    </row>
    <row r="7" spans="1:12" s="115" customFormat="1" ht="18">
      <c r="B7" s="117" t="s">
        <v>1339</v>
      </c>
      <c r="D7" s="118"/>
    </row>
    <row r="8" spans="1:12" s="115" customFormat="1" ht="7.5" customHeight="1">
      <c r="B8" s="116"/>
    </row>
    <row r="9" spans="1:12" s="115" customFormat="1" ht="34.5" customHeight="1" thickBot="1">
      <c r="A9" s="119"/>
      <c r="B9" s="120" t="s">
        <v>543</v>
      </c>
      <c r="C9" s="119"/>
      <c r="D9" s="241" t="s">
        <v>1161</v>
      </c>
      <c r="E9" s="241"/>
      <c r="F9" s="241"/>
      <c r="G9" s="241"/>
      <c r="H9" s="241"/>
      <c r="I9" s="241"/>
      <c r="J9" s="241"/>
      <c r="K9" s="241"/>
      <c r="L9" s="241"/>
    </row>
    <row r="10" spans="1:12" s="115" customFormat="1" ht="27.75" customHeight="1" thickTop="1" thickBot="1">
      <c r="A10" s="119"/>
      <c r="B10" s="121" t="s">
        <v>544</v>
      </c>
      <c r="C10" s="119"/>
      <c r="D10" s="241" t="s">
        <v>1340</v>
      </c>
      <c r="E10" s="241"/>
      <c r="F10" s="241"/>
      <c r="G10" s="241"/>
      <c r="H10" s="241"/>
      <c r="I10" s="241"/>
      <c r="J10" s="241"/>
      <c r="K10" s="241"/>
      <c r="L10" s="241"/>
    </row>
    <row r="11" spans="1:12" s="115" customFormat="1" ht="27.75" customHeight="1" thickTop="1" thickBot="1">
      <c r="A11" s="119"/>
      <c r="B11" s="122" t="s">
        <v>545</v>
      </c>
      <c r="C11" s="119"/>
      <c r="D11" s="241" t="s">
        <v>1341</v>
      </c>
      <c r="E11" s="241"/>
      <c r="F11" s="241"/>
      <c r="G11" s="241"/>
      <c r="H11" s="241"/>
      <c r="I11" s="241"/>
      <c r="J11" s="241"/>
      <c r="K11" s="241"/>
      <c r="L11" s="241"/>
    </row>
    <row r="12" spans="1:12" s="115" customFormat="1" ht="27.75" customHeight="1" thickTop="1" thickBot="1">
      <c r="A12" s="119"/>
      <c r="B12" s="123" t="s">
        <v>546</v>
      </c>
      <c r="C12" s="119"/>
      <c r="D12" s="241" t="s">
        <v>1342</v>
      </c>
      <c r="E12" s="241"/>
      <c r="F12" s="241"/>
      <c r="G12" s="241"/>
      <c r="H12" s="241"/>
      <c r="I12" s="241"/>
      <c r="J12" s="241"/>
      <c r="K12" s="241"/>
      <c r="L12" s="241"/>
    </row>
    <row r="13" spans="1:12" s="115" customFormat="1" ht="27.75" customHeight="1" thickTop="1" thickBot="1">
      <c r="A13" s="119"/>
      <c r="B13" s="124" t="s">
        <v>1105</v>
      </c>
      <c r="C13" s="119"/>
      <c r="D13" s="241" t="s">
        <v>1214</v>
      </c>
      <c r="E13" s="241"/>
      <c r="F13" s="241"/>
      <c r="G13" s="241"/>
      <c r="H13" s="241"/>
      <c r="I13" s="241"/>
      <c r="J13" s="241"/>
      <c r="K13" s="241"/>
      <c r="L13" s="241"/>
    </row>
    <row r="14" spans="1:12" s="115" customFormat="1" ht="27.75" customHeight="1" thickTop="1" thickBot="1">
      <c r="A14" s="119"/>
      <c r="B14" s="124" t="s">
        <v>1022</v>
      </c>
      <c r="C14" s="119"/>
      <c r="D14" s="249" t="s">
        <v>1343</v>
      </c>
      <c r="E14" s="249"/>
      <c r="F14" s="249"/>
      <c r="G14" s="249"/>
      <c r="H14" s="249"/>
      <c r="I14" s="249"/>
      <c r="J14" s="249"/>
      <c r="K14" s="249"/>
      <c r="L14" s="249"/>
    </row>
    <row r="15" spans="1:12" s="115" customFormat="1" ht="27.75" customHeight="1" thickTop="1" thickBot="1">
      <c r="A15" s="119"/>
      <c r="B15" s="125" t="s">
        <v>547</v>
      </c>
      <c r="C15" s="119"/>
      <c r="D15" s="241" t="s">
        <v>1344</v>
      </c>
      <c r="E15" s="241"/>
      <c r="F15" s="241"/>
      <c r="G15" s="241"/>
      <c r="H15" s="241"/>
      <c r="I15" s="241"/>
      <c r="J15" s="241"/>
      <c r="K15" s="241"/>
      <c r="L15" s="241"/>
    </row>
    <row r="16" spans="1:12" ht="16.2" thickTop="1">
      <c r="A16" s="126"/>
      <c r="B16" s="127"/>
      <c r="C16" s="126"/>
      <c r="D16" s="128"/>
      <c r="E16" s="128"/>
      <c r="F16" s="128"/>
      <c r="G16" s="128"/>
      <c r="H16" s="128"/>
      <c r="I16" s="128"/>
      <c r="J16" s="128"/>
      <c r="K16" s="128"/>
      <c r="L16" s="128"/>
    </row>
    <row r="17" spans="2:12" s="115" customFormat="1" ht="18">
      <c r="B17" s="117" t="s">
        <v>1345</v>
      </c>
      <c r="D17" s="118"/>
    </row>
    <row r="18" spans="2:12" s="115" customFormat="1" ht="5.25" customHeight="1">
      <c r="B18" s="129"/>
      <c r="D18" s="118"/>
    </row>
    <row r="19" spans="2:12" s="115" customFormat="1" ht="24.75" customHeight="1" thickBot="1">
      <c r="B19" s="130" t="s">
        <v>1346</v>
      </c>
      <c r="D19" s="240" t="s">
        <v>1357</v>
      </c>
      <c r="E19" s="240"/>
      <c r="F19" s="240"/>
      <c r="G19" s="240"/>
      <c r="H19" s="240"/>
      <c r="I19" s="240"/>
      <c r="J19" s="240"/>
      <c r="K19" s="240"/>
      <c r="L19" s="137" t="s">
        <v>1190</v>
      </c>
    </row>
    <row r="20" spans="2:12" s="115" customFormat="1" ht="41.25" customHeight="1" thickTop="1" thickBot="1">
      <c r="B20" s="130" t="s">
        <v>1347</v>
      </c>
      <c r="D20" s="240" t="s">
        <v>1358</v>
      </c>
      <c r="E20" s="240"/>
      <c r="F20" s="240"/>
      <c r="G20" s="240"/>
      <c r="H20" s="240"/>
      <c r="I20" s="240"/>
      <c r="J20" s="240"/>
      <c r="K20" s="240"/>
      <c r="L20" s="137" t="s">
        <v>1190</v>
      </c>
    </row>
    <row r="21" spans="2:12" s="115" customFormat="1" ht="37.5" customHeight="1" thickTop="1" thickBot="1">
      <c r="B21" s="130" t="s">
        <v>1348</v>
      </c>
      <c r="D21" s="240" t="s">
        <v>1359</v>
      </c>
      <c r="E21" s="240"/>
      <c r="F21" s="240"/>
      <c r="G21" s="240"/>
      <c r="H21" s="240"/>
      <c r="I21" s="240"/>
      <c r="J21" s="240"/>
      <c r="K21" s="240"/>
      <c r="L21" s="137" t="s">
        <v>1190</v>
      </c>
    </row>
    <row r="22" spans="2:12" s="115" customFormat="1" ht="41.25" customHeight="1" thickTop="1" thickBot="1">
      <c r="B22" s="130" t="s">
        <v>1349</v>
      </c>
      <c r="D22" s="240" t="s">
        <v>1360</v>
      </c>
      <c r="E22" s="240"/>
      <c r="F22" s="240"/>
      <c r="G22" s="240"/>
      <c r="H22" s="240"/>
      <c r="I22" s="240"/>
      <c r="J22" s="240"/>
      <c r="K22" s="240"/>
      <c r="L22" s="137" t="s">
        <v>1190</v>
      </c>
    </row>
    <row r="23" spans="2:12" s="115" customFormat="1" ht="36" customHeight="1" thickTop="1" thickBot="1">
      <c r="B23" s="130" t="s">
        <v>1350</v>
      </c>
      <c r="D23" s="240" t="s">
        <v>1232</v>
      </c>
      <c r="E23" s="240"/>
      <c r="F23" s="240"/>
      <c r="G23" s="240"/>
      <c r="H23" s="240"/>
      <c r="I23" s="240"/>
      <c r="J23" s="240"/>
      <c r="K23" s="240"/>
      <c r="L23" s="137" t="s">
        <v>1190</v>
      </c>
    </row>
    <row r="24" spans="2:12" s="115" customFormat="1" ht="52.5" customHeight="1" thickTop="1" thickBot="1">
      <c r="B24" s="130" t="s">
        <v>1351</v>
      </c>
      <c r="D24" s="240" t="s">
        <v>1361</v>
      </c>
      <c r="E24" s="240"/>
      <c r="F24" s="240"/>
      <c r="G24" s="240"/>
      <c r="H24" s="240"/>
      <c r="I24" s="240"/>
      <c r="J24" s="240"/>
      <c r="K24" s="240"/>
      <c r="L24" s="137" t="s">
        <v>1190</v>
      </c>
    </row>
    <row r="25" spans="2:12" s="115" customFormat="1" ht="57" customHeight="1" thickTop="1" thickBot="1">
      <c r="B25" s="130" t="s">
        <v>1352</v>
      </c>
      <c r="D25" s="240" t="s">
        <v>1362</v>
      </c>
      <c r="E25" s="240"/>
      <c r="F25" s="240"/>
      <c r="G25" s="240"/>
      <c r="H25" s="240"/>
      <c r="I25" s="240"/>
      <c r="J25" s="240"/>
      <c r="K25" s="240"/>
      <c r="L25" s="137" t="s">
        <v>1190</v>
      </c>
    </row>
    <row r="26" spans="2:12" s="115" customFormat="1" ht="48.75" customHeight="1" thickTop="1" thickBot="1">
      <c r="B26" s="130" t="s">
        <v>1353</v>
      </c>
      <c r="D26" s="240" t="s">
        <v>1363</v>
      </c>
      <c r="E26" s="240"/>
      <c r="F26" s="240"/>
      <c r="G26" s="240"/>
      <c r="H26" s="240"/>
      <c r="I26" s="240"/>
      <c r="J26" s="240"/>
      <c r="K26" s="240"/>
      <c r="L26" s="137" t="s">
        <v>1190</v>
      </c>
    </row>
    <row r="27" spans="2:12" s="115" customFormat="1" ht="43.5" customHeight="1" thickTop="1" thickBot="1">
      <c r="B27" s="130" t="s">
        <v>1354</v>
      </c>
      <c r="D27" s="240" t="s">
        <v>1364</v>
      </c>
      <c r="E27" s="240"/>
      <c r="F27" s="240"/>
      <c r="G27" s="240"/>
      <c r="H27" s="240"/>
      <c r="I27" s="240"/>
      <c r="J27" s="240"/>
      <c r="K27" s="240"/>
      <c r="L27" s="137" t="s">
        <v>1190</v>
      </c>
    </row>
    <row r="28" spans="2:12" s="115" customFormat="1" ht="43.5" customHeight="1" thickTop="1" thickBot="1">
      <c r="B28" s="130" t="s">
        <v>1355</v>
      </c>
      <c r="D28" s="240" t="s">
        <v>1365</v>
      </c>
      <c r="E28" s="240"/>
      <c r="F28" s="240"/>
      <c r="G28" s="240"/>
      <c r="H28" s="240"/>
      <c r="I28" s="240"/>
      <c r="J28" s="240"/>
      <c r="K28" s="240"/>
      <c r="L28" s="137" t="s">
        <v>1190</v>
      </c>
    </row>
    <row r="29" spans="2:12" s="115" customFormat="1" ht="50.25" customHeight="1" thickTop="1" thickBot="1">
      <c r="B29" s="130" t="s">
        <v>546</v>
      </c>
      <c r="D29" s="240" t="s">
        <v>1238</v>
      </c>
      <c r="E29" s="240"/>
      <c r="F29" s="240"/>
      <c r="G29" s="240"/>
      <c r="H29" s="240"/>
      <c r="I29" s="240"/>
      <c r="J29" s="240"/>
      <c r="K29" s="240"/>
      <c r="L29" s="137" t="s">
        <v>1190</v>
      </c>
    </row>
    <row r="30" spans="2:12" s="115" customFormat="1" ht="57.75" customHeight="1" thickTop="1" thickBot="1">
      <c r="B30" s="130" t="s">
        <v>1188</v>
      </c>
      <c r="D30" s="240" t="s">
        <v>1366</v>
      </c>
      <c r="E30" s="240"/>
      <c r="F30" s="240"/>
      <c r="G30" s="240"/>
      <c r="H30" s="240"/>
      <c r="I30" s="240"/>
      <c r="J30" s="240"/>
      <c r="K30" s="240"/>
      <c r="L30" s="137" t="s">
        <v>1190</v>
      </c>
    </row>
    <row r="31" spans="2:12" s="115" customFormat="1" ht="67.5" customHeight="1" thickTop="1" thickBot="1">
      <c r="B31" s="130" t="s">
        <v>1356</v>
      </c>
      <c r="D31" s="240" t="s">
        <v>1240</v>
      </c>
      <c r="E31" s="240"/>
      <c r="F31" s="240"/>
      <c r="G31" s="240"/>
      <c r="H31" s="240"/>
      <c r="I31" s="240"/>
      <c r="J31" s="240"/>
      <c r="K31" s="240"/>
      <c r="L31" s="137" t="s">
        <v>1190</v>
      </c>
    </row>
    <row r="32" spans="2:12" s="115" customFormat="1" ht="15" thickTop="1">
      <c r="B32" s="131"/>
      <c r="D32" s="118"/>
      <c r="L32" s="119"/>
    </row>
    <row r="33" spans="2:12" s="115" customFormat="1" ht="18.75" customHeight="1">
      <c r="B33" s="132" t="s">
        <v>1436</v>
      </c>
      <c r="C33" s="133"/>
      <c r="D33" s="134"/>
      <c r="E33" s="133"/>
      <c r="F33" s="133"/>
      <c r="G33" s="133"/>
      <c r="H33" s="133"/>
      <c r="I33" s="133"/>
      <c r="J33" s="133"/>
      <c r="K33" s="133"/>
      <c r="L33" s="135"/>
    </row>
    <row r="34" spans="2:12" s="115" customFormat="1" ht="59.25" customHeight="1">
      <c r="B34" s="244" t="s">
        <v>1367</v>
      </c>
      <c r="C34" s="244"/>
      <c r="D34" s="244"/>
      <c r="E34" s="244"/>
      <c r="F34" s="244"/>
      <c r="G34" s="244"/>
      <c r="H34" s="244"/>
      <c r="I34" s="244"/>
      <c r="J34" s="244"/>
      <c r="K34" s="244"/>
      <c r="L34" s="244"/>
    </row>
  </sheetData>
  <mergeCells count="25">
    <mergeCell ref="A1:G2"/>
    <mergeCell ref="D29:K29"/>
    <mergeCell ref="D30:K30"/>
    <mergeCell ref="B34:L34"/>
    <mergeCell ref="D31:K31"/>
    <mergeCell ref="J1:L1"/>
    <mergeCell ref="I2:L2"/>
    <mergeCell ref="D20:K20"/>
    <mergeCell ref="D21:K21"/>
    <mergeCell ref="D22:K22"/>
    <mergeCell ref="B4:L5"/>
    <mergeCell ref="D19:K19"/>
    <mergeCell ref="D14:L14"/>
    <mergeCell ref="D9:L9"/>
    <mergeCell ref="D10:L10"/>
    <mergeCell ref="D25:K25"/>
    <mergeCell ref="D23:K23"/>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200-000000000000}"/>
    <hyperlink ref="B10" location="Progress!A1" display="Progress" xr:uid="{00000000-0004-0000-0200-000001000000}"/>
    <hyperlink ref="J1" r:id="rId1" display="https://xlworks.net/" xr:uid="{00000000-0004-0000-0200-000003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2" display="https://xlworks.net/xlgantt_easy_tip/" xr:uid="{00000000-0004-0000-0200-000009000000}"/>
    <hyperlink ref="L20" r:id="rId3" display="https://xlworks.net/xlgantt_howto_02_task/" xr:uid="{00000000-0004-0000-0200-00000A000000}"/>
    <hyperlink ref="L21" r:id="rId4" display="https://xlworks.net/xlgantt_howto_03_gantt_chart/" xr:uid="{00000000-0004-0000-0200-00000B000000}"/>
    <hyperlink ref="L23" r:id="rId5" display="https://xlworks.net/xlgantt_howto_05_analysis_report/" xr:uid="{00000000-0004-0000-0200-00000D000000}"/>
    <hyperlink ref="L24" r:id="rId6" display="https://xlworks.net/xlgantt_howto_06_schedule_change_management/" xr:uid="{00000000-0004-0000-0200-00000E000000}"/>
    <hyperlink ref="L25" r:id="rId7" display="https://xlworks.net/xlgantt-howto-07-deliverables/" xr:uid="{00000000-0004-0000-0200-00000F000000}"/>
    <hyperlink ref="I2" r:id="rId8" display="https://xlworks.net/" xr:uid="{00000000-0004-0000-0200-000011000000}"/>
    <hyperlink ref="L26" r:id="rId9" display="https://xlworks.net/xlgantt-howto-08-add-tasks-to-outlook/" xr:uid="{423DE1E1-7322-43C8-884A-3985C3D42DBA}"/>
    <hyperlink ref="L27" r:id="rId10" display="https://xlworks.net/xlgantt-howto-09-multilingual-support/" xr:uid="{28BAD743-7265-4620-97AC-8124DB0B1D7C}"/>
    <hyperlink ref="L28" r:id="rId11" display="https://xlworks.net/xlgantt-howto-10-import-schedule/" xr:uid="{E14A75FF-521C-422B-9FE7-980188152BB9}"/>
    <hyperlink ref="L29" r:id="rId12" display="https://xlworks.net/xlgantt-howto-11-calendar/" xr:uid="{0FB2DC2E-E56F-4E03-A2CF-500B3745E3EA}"/>
    <hyperlink ref="L30" r:id="rId13" display="https://xlworks.net/xlgantt-howto-12-integration-with-excel/" xr:uid="{CCBF42A0-CEAA-4863-8CEE-5A42FF6A85B1}"/>
    <hyperlink ref="L22" r:id="rId14" display="https://xlworks.net/xlgantt_howto_04_project_progress/" xr:uid="{00000000-0004-0000-0200-00000C000000}"/>
    <hyperlink ref="L31" r:id="rId15" display="https://xlworks.net/en/xlgantt-howto-13-server-data" xr:uid="{26788545-63B4-4141-A001-034A938CA870}"/>
    <hyperlink ref="B12" location="Calendar!A1" display="Calendar" xr:uid="{AE45EC12-A6C9-4053-B73A-1BB77F452809}"/>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DY59"/>
  <sheetViews>
    <sheetView tabSelected="1" zoomScale="58" zoomScaleNormal="7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3"/>
  <cols>
    <col min="1" max="1" width="9.09765625" style="188" hidden="1" customWidth="1"/>
    <col min="2" max="2" width="9" style="188" hidden="1" customWidth="1"/>
    <col min="3" max="3" width="8.3984375" style="188" hidden="1" customWidth="1"/>
    <col min="4" max="4" width="12.69921875" style="189" customWidth="1"/>
    <col min="5" max="13" width="2.69921875" style="190" customWidth="1"/>
    <col min="14" max="14" width="4.5" style="190" bestFit="1" customWidth="1"/>
    <col min="15" max="15" width="5.19921875" style="190" bestFit="1" customWidth="1"/>
    <col min="16" max="17" width="9.8984375" style="191" bestFit="1" customWidth="1"/>
    <col min="18" max="18" width="7.59765625" style="192" hidden="1" customWidth="1"/>
    <col min="19" max="19" width="6.3984375" style="193" bestFit="1" customWidth="1"/>
    <col min="20" max="20" width="4.8984375" style="193" bestFit="1" customWidth="1"/>
    <col min="21" max="21" width="5.8984375" style="193" bestFit="1" customWidth="1"/>
    <col min="22" max="22" width="5" style="193" bestFit="1" customWidth="1"/>
    <col min="23" max="24" width="9.69921875" style="191" hidden="1" customWidth="1"/>
    <col min="25" max="25" width="7.5" style="194" hidden="1" customWidth="1"/>
    <col min="26" max="26" width="6" style="195" hidden="1" customWidth="1"/>
    <col min="27" max="27" width="6.09765625" style="193" hidden="1" customWidth="1"/>
    <col min="28" max="28" width="25.296875" style="192" bestFit="1" customWidth="1"/>
    <col min="29" max="29" width="10.19921875" style="196" bestFit="1" customWidth="1"/>
    <col min="30" max="30" width="7.69921875" style="197" bestFit="1" customWidth="1"/>
    <col min="31" max="31" width="7.19921875" style="198" customWidth="1"/>
    <col min="32" max="129" width="0.796875" style="176" customWidth="1"/>
    <col min="130" max="16384" width="10" style="176"/>
  </cols>
  <sheetData>
    <row r="1" spans="1:129" s="159" customFormat="1" ht="19.95" customHeight="1">
      <c r="A1" s="201"/>
      <c r="B1" s="202"/>
      <c r="C1" s="203"/>
      <c r="D1" s="204" t="str" cm="1">
        <f t="array" aca="1" ref="D1" ca="1">xlgantt.ProjectName()</f>
        <v>1팀 시스템 구축</v>
      </c>
      <c r="E1" s="205"/>
      <c r="F1" s="205"/>
      <c r="G1" s="205"/>
      <c r="H1" s="205"/>
      <c r="I1" s="205"/>
      <c r="J1" s="205"/>
      <c r="K1" s="205"/>
      <c r="L1" s="205"/>
      <c r="M1" s="205"/>
      <c r="N1" s="205"/>
      <c r="O1" s="205"/>
      <c r="P1" s="205"/>
      <c r="Q1" s="206"/>
      <c r="R1" s="207"/>
      <c r="S1" s="208"/>
      <c r="T1" s="209"/>
      <c r="U1" s="210"/>
      <c r="V1" s="210"/>
      <c r="W1" s="211"/>
      <c r="X1" s="211"/>
      <c r="Y1" s="202"/>
      <c r="Z1" s="212"/>
      <c r="AA1" s="213"/>
      <c r="AB1" s="214"/>
      <c r="AC1" s="215"/>
      <c r="AD1" s="216"/>
      <c r="AE1" s="217" t="str" cm="1">
        <f t="array" aca="1" ref="AE1" ca="1">xlgantt.ProjectProgressString()</f>
        <v>2020-09-04~2020-11-30 [계획:62.07% 실적:64.83%]</v>
      </c>
      <c r="AF1" s="223" t="s">
        <v>1589</v>
      </c>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row>
    <row r="2" spans="1:129" s="159" customFormat="1" ht="15" customHeight="1">
      <c r="A2" s="201"/>
      <c r="B2" s="201"/>
      <c r="C2" s="203"/>
      <c r="D2" s="265"/>
      <c r="E2" s="265"/>
      <c r="F2" s="265"/>
      <c r="G2" s="218"/>
      <c r="H2" s="219"/>
      <c r="I2" s="218"/>
      <c r="J2" s="218"/>
      <c r="K2" s="218"/>
      <c r="L2" s="218"/>
      <c r="M2" s="218"/>
      <c r="N2" s="218"/>
      <c r="O2" s="218"/>
      <c r="P2" s="218"/>
      <c r="Q2" s="218"/>
      <c r="R2" s="218"/>
      <c r="S2" s="220"/>
      <c r="T2" s="220"/>
      <c r="U2" s="220"/>
      <c r="V2" s="220"/>
      <c r="W2" s="218"/>
      <c r="X2" s="218"/>
      <c r="Y2" s="218"/>
      <c r="Z2" s="218"/>
      <c r="AA2" s="218"/>
      <c r="AB2" s="218"/>
      <c r="AC2" s="221"/>
      <c r="AD2" s="222"/>
      <c r="AE2" s="218" t="str" cm="1">
        <f t="array" aca="1" ref="AE2" ca="1">xlgantt.CommentOnHeadArea()</f>
        <v>별(*)표시는 필수입력, 주황색열은 자동계산</v>
      </c>
      <c r="AF2" s="252" t="s">
        <v>1425</v>
      </c>
      <c r="AG2" s="252"/>
      <c r="AH2" s="252"/>
      <c r="AI2" s="252"/>
      <c r="AJ2" s="252"/>
      <c r="AK2" s="252"/>
      <c r="AL2" s="252"/>
      <c r="AM2" s="252" t="s">
        <v>1570</v>
      </c>
      <c r="AN2" s="252"/>
      <c r="AO2" s="252"/>
      <c r="AP2" s="252"/>
      <c r="AQ2" s="252"/>
      <c r="AR2" s="252"/>
      <c r="AS2" s="252"/>
      <c r="AT2" s="252" t="s">
        <v>1572</v>
      </c>
      <c r="AU2" s="252"/>
      <c r="AV2" s="252"/>
      <c r="AW2" s="252"/>
      <c r="AX2" s="252"/>
      <c r="AY2" s="252"/>
      <c r="AZ2" s="252"/>
      <c r="BA2" s="252" t="s">
        <v>1574</v>
      </c>
      <c r="BB2" s="252"/>
      <c r="BC2" s="252"/>
      <c r="BD2" s="252"/>
      <c r="BE2" s="252"/>
      <c r="BF2" s="252"/>
      <c r="BG2" s="252"/>
      <c r="BH2" s="252" t="s">
        <v>1543</v>
      </c>
      <c r="BI2" s="252"/>
      <c r="BJ2" s="252"/>
      <c r="BK2" s="252"/>
      <c r="BL2" s="252"/>
      <c r="BM2" s="252"/>
      <c r="BN2" s="252"/>
      <c r="BO2" s="252" t="s">
        <v>1576</v>
      </c>
      <c r="BP2" s="252"/>
      <c r="BQ2" s="252"/>
      <c r="BR2" s="252"/>
      <c r="BS2" s="252"/>
      <c r="BT2" s="252"/>
      <c r="BU2" s="252"/>
      <c r="BV2" s="252" t="s">
        <v>1578</v>
      </c>
      <c r="BW2" s="252"/>
      <c r="BX2" s="252"/>
      <c r="BY2" s="252"/>
      <c r="BZ2" s="252"/>
      <c r="CA2" s="252"/>
      <c r="CB2" s="252"/>
      <c r="CC2" s="252" t="s">
        <v>1580</v>
      </c>
      <c r="CD2" s="252"/>
      <c r="CE2" s="252"/>
      <c r="CF2" s="252"/>
      <c r="CG2" s="252"/>
      <c r="CH2" s="252"/>
      <c r="CI2" s="252"/>
      <c r="CJ2" s="252" t="s">
        <v>1565</v>
      </c>
      <c r="CK2" s="252"/>
      <c r="CL2" s="252"/>
      <c r="CM2" s="252"/>
      <c r="CN2" s="252"/>
      <c r="CO2" s="252"/>
      <c r="CP2" s="252"/>
      <c r="CQ2" s="252" t="s">
        <v>1582</v>
      </c>
      <c r="CR2" s="252"/>
      <c r="CS2" s="252"/>
      <c r="CT2" s="252"/>
      <c r="CU2" s="252"/>
      <c r="CV2" s="252"/>
      <c r="CW2" s="252"/>
      <c r="CX2" s="252" t="s">
        <v>1584</v>
      </c>
      <c r="CY2" s="252"/>
      <c r="CZ2" s="252"/>
      <c r="DA2" s="252"/>
      <c r="DB2" s="252"/>
      <c r="DC2" s="252"/>
      <c r="DD2" s="252"/>
      <c r="DE2" s="252" t="s">
        <v>1586</v>
      </c>
      <c r="DF2" s="252"/>
      <c r="DG2" s="252"/>
      <c r="DH2" s="252"/>
      <c r="DI2" s="252"/>
      <c r="DJ2" s="252"/>
      <c r="DK2" s="252"/>
      <c r="DL2" s="252" t="s">
        <v>1567</v>
      </c>
      <c r="DM2" s="252"/>
      <c r="DN2" s="252"/>
      <c r="DO2" s="252"/>
      <c r="DP2" s="252"/>
      <c r="DQ2" s="252"/>
      <c r="DR2" s="252"/>
      <c r="DS2" s="252" t="s">
        <v>1588</v>
      </c>
      <c r="DT2" s="252"/>
      <c r="DU2" s="252"/>
      <c r="DV2" s="252"/>
      <c r="DW2" s="252"/>
      <c r="DX2" s="252"/>
      <c r="DY2" s="252"/>
    </row>
    <row r="3" spans="1:129" s="160" customFormat="1" ht="19.05" customHeight="1">
      <c r="A3" s="255" t="s">
        <v>567</v>
      </c>
      <c r="B3" s="257" t="s">
        <v>559</v>
      </c>
      <c r="C3" s="259" t="s">
        <v>569</v>
      </c>
      <c r="D3" s="260" t="s">
        <v>560</v>
      </c>
      <c r="E3" s="262" t="s">
        <v>1318</v>
      </c>
      <c r="F3" s="263"/>
      <c r="G3" s="263"/>
      <c r="H3" s="263"/>
      <c r="I3" s="263"/>
      <c r="J3" s="263"/>
      <c r="K3" s="263"/>
      <c r="L3" s="263"/>
      <c r="M3" s="263"/>
      <c r="N3" s="263"/>
      <c r="O3" s="266" t="s">
        <v>1319</v>
      </c>
      <c r="P3" s="266" t="s">
        <v>1320</v>
      </c>
      <c r="Q3" s="266" t="s">
        <v>1321</v>
      </c>
      <c r="R3" s="277" t="s">
        <v>561</v>
      </c>
      <c r="S3" s="268" t="s">
        <v>1322</v>
      </c>
      <c r="T3" s="279" t="s">
        <v>1323</v>
      </c>
      <c r="U3" s="268" t="s">
        <v>1324</v>
      </c>
      <c r="V3" s="268" t="s">
        <v>1325</v>
      </c>
      <c r="W3" s="270" t="s">
        <v>1326</v>
      </c>
      <c r="X3" s="270" t="s">
        <v>1327</v>
      </c>
      <c r="Y3" s="273" t="s">
        <v>1328</v>
      </c>
      <c r="Z3" s="271" t="s">
        <v>1329</v>
      </c>
      <c r="AA3" s="284" t="s">
        <v>1330</v>
      </c>
      <c r="AB3" s="266" t="s">
        <v>1331</v>
      </c>
      <c r="AC3" s="283" t="s">
        <v>1332</v>
      </c>
      <c r="AD3" s="281" t="s">
        <v>1333</v>
      </c>
      <c r="AE3" s="275" t="s">
        <v>1334</v>
      </c>
      <c r="AF3" s="254" t="s">
        <v>1555</v>
      </c>
      <c r="AG3" s="251"/>
      <c r="AH3" s="251"/>
      <c r="AI3" s="251"/>
      <c r="AJ3" s="251"/>
      <c r="AK3" s="251"/>
      <c r="AL3" s="251"/>
      <c r="AM3" s="250" t="s">
        <v>1569</v>
      </c>
      <c r="AN3" s="251"/>
      <c r="AO3" s="251"/>
      <c r="AP3" s="251"/>
      <c r="AQ3" s="251"/>
      <c r="AR3" s="251"/>
      <c r="AS3" s="251"/>
      <c r="AT3" s="250" t="s">
        <v>1571</v>
      </c>
      <c r="AU3" s="251"/>
      <c r="AV3" s="251"/>
      <c r="AW3" s="251"/>
      <c r="AX3" s="251"/>
      <c r="AY3" s="251"/>
      <c r="AZ3" s="251"/>
      <c r="BA3" s="250" t="s">
        <v>1573</v>
      </c>
      <c r="BB3" s="251"/>
      <c r="BC3" s="251"/>
      <c r="BD3" s="251"/>
      <c r="BE3" s="251"/>
      <c r="BF3" s="251"/>
      <c r="BG3" s="251"/>
      <c r="BH3" s="250" t="s">
        <v>1561</v>
      </c>
      <c r="BI3" s="251"/>
      <c r="BJ3" s="251"/>
      <c r="BK3" s="251"/>
      <c r="BL3" s="251"/>
      <c r="BM3" s="251"/>
      <c r="BN3" s="251"/>
      <c r="BO3" s="250" t="s">
        <v>1575</v>
      </c>
      <c r="BP3" s="251"/>
      <c r="BQ3" s="251"/>
      <c r="BR3" s="251"/>
      <c r="BS3" s="251"/>
      <c r="BT3" s="251"/>
      <c r="BU3" s="251"/>
      <c r="BV3" s="250" t="s">
        <v>1577</v>
      </c>
      <c r="BW3" s="251"/>
      <c r="BX3" s="251"/>
      <c r="BY3" s="251"/>
      <c r="BZ3" s="251"/>
      <c r="CA3" s="251"/>
      <c r="CB3" s="251"/>
      <c r="CC3" s="250" t="s">
        <v>1579</v>
      </c>
      <c r="CD3" s="251"/>
      <c r="CE3" s="251"/>
      <c r="CF3" s="251"/>
      <c r="CG3" s="251"/>
      <c r="CH3" s="251"/>
      <c r="CI3" s="251"/>
      <c r="CJ3" s="250" t="s">
        <v>1564</v>
      </c>
      <c r="CK3" s="251"/>
      <c r="CL3" s="251"/>
      <c r="CM3" s="251"/>
      <c r="CN3" s="251"/>
      <c r="CO3" s="251"/>
      <c r="CP3" s="251"/>
      <c r="CQ3" s="250" t="s">
        <v>1581</v>
      </c>
      <c r="CR3" s="251"/>
      <c r="CS3" s="251"/>
      <c r="CT3" s="251"/>
      <c r="CU3" s="251"/>
      <c r="CV3" s="251"/>
      <c r="CW3" s="251"/>
      <c r="CX3" s="250" t="s">
        <v>1583</v>
      </c>
      <c r="CY3" s="251"/>
      <c r="CZ3" s="251"/>
      <c r="DA3" s="251"/>
      <c r="DB3" s="251"/>
      <c r="DC3" s="251"/>
      <c r="DD3" s="251"/>
      <c r="DE3" s="250" t="s">
        <v>1585</v>
      </c>
      <c r="DF3" s="251"/>
      <c r="DG3" s="251"/>
      <c r="DH3" s="251"/>
      <c r="DI3" s="251"/>
      <c r="DJ3" s="251"/>
      <c r="DK3" s="251"/>
      <c r="DL3" s="250" t="s">
        <v>1566</v>
      </c>
      <c r="DM3" s="251"/>
      <c r="DN3" s="251"/>
      <c r="DO3" s="251"/>
      <c r="DP3" s="251"/>
      <c r="DQ3" s="251"/>
      <c r="DR3" s="251"/>
      <c r="DS3" s="250" t="s">
        <v>1587</v>
      </c>
      <c r="DT3" s="251"/>
      <c r="DU3" s="251"/>
      <c r="DV3" s="251"/>
      <c r="DW3" s="251"/>
      <c r="DX3" s="251"/>
      <c r="DY3" s="253"/>
    </row>
    <row r="4" spans="1:129" s="161" customFormat="1" ht="6" customHeight="1">
      <c r="A4" s="256"/>
      <c r="B4" s="258"/>
      <c r="C4" s="255"/>
      <c r="D4" s="261"/>
      <c r="E4" s="264"/>
      <c r="F4" s="263"/>
      <c r="G4" s="263"/>
      <c r="H4" s="263"/>
      <c r="I4" s="263"/>
      <c r="J4" s="263"/>
      <c r="K4" s="263"/>
      <c r="L4" s="263"/>
      <c r="M4" s="263"/>
      <c r="N4" s="263"/>
      <c r="O4" s="267"/>
      <c r="P4" s="267"/>
      <c r="Q4" s="267"/>
      <c r="R4" s="278"/>
      <c r="S4" s="269"/>
      <c r="T4" s="280"/>
      <c r="U4" s="269"/>
      <c r="V4" s="269"/>
      <c r="W4" s="267"/>
      <c r="X4" s="267"/>
      <c r="Y4" s="274"/>
      <c r="Z4" s="272"/>
      <c r="AA4" s="285"/>
      <c r="AB4" s="267"/>
      <c r="AC4" s="261"/>
      <c r="AD4" s="282"/>
      <c r="AE4" s="276"/>
      <c r="AF4" s="199">
        <v>44073</v>
      </c>
      <c r="AG4" s="200">
        <v>44074</v>
      </c>
      <c r="AH4" s="200">
        <v>44075</v>
      </c>
      <c r="AI4" s="200">
        <v>44076</v>
      </c>
      <c r="AJ4" s="200">
        <v>44077</v>
      </c>
      <c r="AK4" s="200">
        <v>44078</v>
      </c>
      <c r="AL4" s="200">
        <v>44079</v>
      </c>
      <c r="AM4" s="200">
        <v>44080</v>
      </c>
      <c r="AN4" s="200">
        <v>44081</v>
      </c>
      <c r="AO4" s="200">
        <v>44082</v>
      </c>
      <c r="AP4" s="200">
        <v>44083</v>
      </c>
      <c r="AQ4" s="200">
        <v>44084</v>
      </c>
      <c r="AR4" s="200">
        <v>44085</v>
      </c>
      <c r="AS4" s="200">
        <v>44086</v>
      </c>
      <c r="AT4" s="200">
        <v>44087</v>
      </c>
      <c r="AU4" s="200">
        <v>44088</v>
      </c>
      <c r="AV4" s="200">
        <v>44089</v>
      </c>
      <c r="AW4" s="200">
        <v>44090</v>
      </c>
      <c r="AX4" s="200">
        <v>44091</v>
      </c>
      <c r="AY4" s="200">
        <v>44092</v>
      </c>
      <c r="AZ4" s="200">
        <v>44093</v>
      </c>
      <c r="BA4" s="200">
        <v>44094</v>
      </c>
      <c r="BB4" s="200">
        <v>44095</v>
      </c>
      <c r="BC4" s="200">
        <v>44096</v>
      </c>
      <c r="BD4" s="200">
        <v>44097</v>
      </c>
      <c r="BE4" s="200">
        <v>44098</v>
      </c>
      <c r="BF4" s="200">
        <v>44099</v>
      </c>
      <c r="BG4" s="200">
        <v>44100</v>
      </c>
      <c r="BH4" s="200">
        <v>44101</v>
      </c>
      <c r="BI4" s="200">
        <v>44102</v>
      </c>
      <c r="BJ4" s="200">
        <v>44103</v>
      </c>
      <c r="BK4" s="200">
        <v>44104</v>
      </c>
      <c r="BL4" s="200">
        <v>44105</v>
      </c>
      <c r="BM4" s="200">
        <v>44106</v>
      </c>
      <c r="BN4" s="200">
        <v>44107</v>
      </c>
      <c r="BO4" s="200">
        <v>44108</v>
      </c>
      <c r="BP4" s="200">
        <v>44109</v>
      </c>
      <c r="BQ4" s="200">
        <v>44110</v>
      </c>
      <c r="BR4" s="200">
        <v>44111</v>
      </c>
      <c r="BS4" s="200">
        <v>44112</v>
      </c>
      <c r="BT4" s="200">
        <v>44113</v>
      </c>
      <c r="BU4" s="200">
        <v>44114</v>
      </c>
      <c r="BV4" s="200">
        <v>44115</v>
      </c>
      <c r="BW4" s="200">
        <v>44116</v>
      </c>
      <c r="BX4" s="200">
        <v>44117</v>
      </c>
      <c r="BY4" s="200">
        <v>44118</v>
      </c>
      <c r="BZ4" s="200">
        <v>44119</v>
      </c>
      <c r="CA4" s="200">
        <v>44120</v>
      </c>
      <c r="CB4" s="200">
        <v>44121</v>
      </c>
      <c r="CC4" s="200">
        <v>44122</v>
      </c>
      <c r="CD4" s="200">
        <v>44123</v>
      </c>
      <c r="CE4" s="200">
        <v>44124</v>
      </c>
      <c r="CF4" s="200">
        <v>44125</v>
      </c>
      <c r="CG4" s="200">
        <v>44126</v>
      </c>
      <c r="CH4" s="200">
        <v>44127</v>
      </c>
      <c r="CI4" s="200">
        <v>44128</v>
      </c>
      <c r="CJ4" s="200">
        <v>44129</v>
      </c>
      <c r="CK4" s="200">
        <v>44130</v>
      </c>
      <c r="CL4" s="200">
        <v>44131</v>
      </c>
      <c r="CM4" s="200">
        <v>44132</v>
      </c>
      <c r="CN4" s="200">
        <v>44133</v>
      </c>
      <c r="CO4" s="200">
        <v>44134</v>
      </c>
      <c r="CP4" s="200">
        <v>44135</v>
      </c>
      <c r="CQ4" s="200">
        <v>44136</v>
      </c>
      <c r="CR4" s="200">
        <v>44137</v>
      </c>
      <c r="CS4" s="200">
        <v>44138</v>
      </c>
      <c r="CT4" s="200">
        <v>44139</v>
      </c>
      <c r="CU4" s="200">
        <v>44140</v>
      </c>
      <c r="CV4" s="200">
        <v>44141</v>
      </c>
      <c r="CW4" s="200">
        <v>44142</v>
      </c>
      <c r="CX4" s="200">
        <v>44143</v>
      </c>
      <c r="CY4" s="200">
        <v>44144</v>
      </c>
      <c r="CZ4" s="200">
        <v>44145</v>
      </c>
      <c r="DA4" s="200">
        <v>44146</v>
      </c>
      <c r="DB4" s="200">
        <v>44147</v>
      </c>
      <c r="DC4" s="200">
        <v>44148</v>
      </c>
      <c r="DD4" s="200">
        <v>44149</v>
      </c>
      <c r="DE4" s="200">
        <v>44150</v>
      </c>
      <c r="DF4" s="200">
        <v>44151</v>
      </c>
      <c r="DG4" s="200">
        <v>44152</v>
      </c>
      <c r="DH4" s="200">
        <v>44153</v>
      </c>
      <c r="DI4" s="200">
        <v>44154</v>
      </c>
      <c r="DJ4" s="200">
        <v>44155</v>
      </c>
      <c r="DK4" s="200">
        <v>44156</v>
      </c>
      <c r="DL4" s="200">
        <v>44157</v>
      </c>
      <c r="DM4" s="200">
        <v>44158</v>
      </c>
      <c r="DN4" s="200">
        <v>44159</v>
      </c>
      <c r="DO4" s="200">
        <v>44160</v>
      </c>
      <c r="DP4" s="200">
        <v>44161</v>
      </c>
      <c r="DQ4" s="200">
        <v>44162</v>
      </c>
      <c r="DR4" s="200">
        <v>44163</v>
      </c>
      <c r="DS4" s="200">
        <v>44164</v>
      </c>
      <c r="DT4" s="200">
        <v>44165</v>
      </c>
      <c r="DU4" s="200">
        <v>44166</v>
      </c>
      <c r="DV4" s="200">
        <v>44167</v>
      </c>
      <c r="DW4" s="200">
        <v>44168</v>
      </c>
      <c r="DX4" s="200">
        <v>44169</v>
      </c>
      <c r="DY4" s="239">
        <v>44170</v>
      </c>
    </row>
    <row r="5" spans="1:129" ht="12" customHeight="1">
      <c r="A5" s="162"/>
      <c r="B5" s="162" t="s">
        <v>1437</v>
      </c>
      <c r="C5" s="162">
        <v>1</v>
      </c>
      <c r="D5" s="163" t="s">
        <v>1037</v>
      </c>
      <c r="E5" s="164" t="s">
        <v>1553</v>
      </c>
      <c r="F5" s="164"/>
      <c r="G5" s="164"/>
      <c r="H5" s="164"/>
      <c r="I5" s="164"/>
      <c r="J5" s="164"/>
      <c r="K5" s="164"/>
      <c r="L5" s="164"/>
      <c r="M5" s="164"/>
      <c r="N5" s="164"/>
      <c r="O5" s="164"/>
      <c r="P5" s="165">
        <v>44078</v>
      </c>
      <c r="Q5" s="165">
        <v>44120</v>
      </c>
      <c r="R5" s="166"/>
      <c r="S5" s="167">
        <v>50</v>
      </c>
      <c r="T5" s="167">
        <v>50</v>
      </c>
      <c r="U5" s="167">
        <v>27</v>
      </c>
      <c r="V5" s="167">
        <v>27</v>
      </c>
      <c r="W5" s="165"/>
      <c r="X5" s="165"/>
      <c r="Y5" s="168">
        <v>0</v>
      </c>
      <c r="Z5" s="169">
        <v>0</v>
      </c>
      <c r="AA5" s="167"/>
      <c r="AB5" s="166"/>
      <c r="AC5" s="170"/>
      <c r="AD5" s="171">
        <v>1</v>
      </c>
      <c r="AE5" s="172">
        <v>1</v>
      </c>
      <c r="AF5" s="173"/>
      <c r="AG5" s="174"/>
      <c r="AH5" s="174"/>
      <c r="AI5" s="174"/>
      <c r="AJ5" s="174"/>
      <c r="AK5" s="174"/>
      <c r="AL5" s="174"/>
      <c r="AM5" s="174"/>
      <c r="AN5" s="174"/>
      <c r="AO5" s="174"/>
      <c r="AP5" s="174"/>
      <c r="AQ5" s="174"/>
      <c r="AR5" s="174"/>
      <c r="AS5" s="174"/>
      <c r="AT5" s="174"/>
      <c r="AU5" s="174"/>
      <c r="AV5" s="174"/>
      <c r="AW5" s="174"/>
      <c r="AX5" s="174"/>
      <c r="AY5" s="174"/>
      <c r="AZ5" s="174"/>
      <c r="BA5" s="174"/>
      <c r="BB5" s="174"/>
      <c r="BC5" s="174"/>
      <c r="BD5" s="174"/>
      <c r="BE5" s="174"/>
      <c r="BF5" s="174"/>
      <c r="BG5" s="174"/>
      <c r="BH5" s="174"/>
      <c r="BI5" s="174"/>
      <c r="BJ5" s="174"/>
      <c r="BK5" s="174"/>
      <c r="BL5" s="174"/>
      <c r="BM5" s="174"/>
      <c r="BN5" s="174"/>
      <c r="BO5" s="174"/>
      <c r="BP5" s="174"/>
      <c r="BQ5" s="174"/>
      <c r="BR5" s="174"/>
      <c r="BS5" s="174"/>
      <c r="BT5" s="174"/>
      <c r="BU5" s="174"/>
      <c r="BV5" s="174"/>
      <c r="BW5" s="174"/>
      <c r="BX5" s="174"/>
      <c r="BY5" s="174"/>
      <c r="BZ5" s="174"/>
      <c r="CA5" s="174"/>
      <c r="CB5" s="174" t="str">
        <f>"" &amp; TEXT(AE5,"#0.00%") &amp; " " &amp; "시스템개발" &amp; " " &amp; IF(P5="","",TEXT(P5,"M/D-")) &amp; IF(Q5="","",TEXT(Q5,"M/D")) &amp; " "</f>
        <v xml:space="preserve">100.00% 시스템개발 9/4-10/16 </v>
      </c>
      <c r="CC5" s="174"/>
      <c r="CD5" s="174"/>
      <c r="CE5" s="174"/>
      <c r="CF5" s="174"/>
      <c r="CG5" s="174"/>
      <c r="CH5" s="174"/>
      <c r="CI5" s="174"/>
      <c r="CJ5" s="174"/>
      <c r="CK5" s="174"/>
      <c r="CL5" s="174"/>
      <c r="CM5" s="174"/>
      <c r="CN5" s="174"/>
      <c r="CO5" s="174"/>
      <c r="CP5" s="174"/>
      <c r="CQ5" s="174"/>
      <c r="CR5" s="174"/>
      <c r="CS5" s="174"/>
      <c r="CT5" s="174"/>
      <c r="CU5" s="174"/>
      <c r="CV5" s="174"/>
      <c r="CW5" s="174"/>
      <c r="CX5" s="174"/>
      <c r="CY5" s="174"/>
      <c r="CZ5" s="174"/>
      <c r="DA5" s="174"/>
      <c r="DB5" s="174"/>
      <c r="DC5" s="174"/>
      <c r="DD5" s="174"/>
      <c r="DE5" s="174"/>
      <c r="DF5" s="174"/>
      <c r="DG5" s="174"/>
      <c r="DH5" s="174"/>
      <c r="DI5" s="174"/>
      <c r="DJ5" s="174"/>
      <c r="DK5" s="174"/>
      <c r="DL5" s="174"/>
      <c r="DM5" s="174"/>
      <c r="DN5" s="174"/>
      <c r="DO5" s="174"/>
      <c r="DP5" s="174"/>
      <c r="DQ5" s="174"/>
      <c r="DR5" s="174"/>
      <c r="DS5" s="174"/>
      <c r="DT5" s="174"/>
      <c r="DU5" s="174"/>
      <c r="DV5" s="174"/>
      <c r="DW5" s="174"/>
      <c r="DX5" s="174"/>
      <c r="DY5" s="174"/>
    </row>
    <row r="6" spans="1:129" ht="12" customHeight="1" outlineLevel="1">
      <c r="A6" s="162"/>
      <c r="B6" s="162" t="s">
        <v>1437</v>
      </c>
      <c r="C6" s="162">
        <v>2</v>
      </c>
      <c r="D6" s="163" t="s">
        <v>1111</v>
      </c>
      <c r="E6" s="164"/>
      <c r="F6" s="164" t="s">
        <v>542</v>
      </c>
      <c r="G6" s="164"/>
      <c r="H6" s="164"/>
      <c r="I6" s="164"/>
      <c r="J6" s="164"/>
      <c r="K6" s="164"/>
      <c r="L6" s="164"/>
      <c r="M6" s="164"/>
      <c r="N6" s="164"/>
      <c r="O6" s="164"/>
      <c r="P6" s="165">
        <v>44078</v>
      </c>
      <c r="Q6" s="165">
        <v>44086</v>
      </c>
      <c r="R6" s="166"/>
      <c r="S6" s="167">
        <v>6</v>
      </c>
      <c r="T6" s="167">
        <v>6</v>
      </c>
      <c r="U6" s="167">
        <v>6</v>
      </c>
      <c r="V6" s="167">
        <v>6</v>
      </c>
      <c r="W6" s="165"/>
      <c r="X6" s="165"/>
      <c r="Y6" s="168">
        <v>0</v>
      </c>
      <c r="Z6" s="169">
        <v>0</v>
      </c>
      <c r="AA6" s="167"/>
      <c r="AB6" s="166"/>
      <c r="AC6" s="170"/>
      <c r="AD6" s="171">
        <v>1</v>
      </c>
      <c r="AE6" s="172">
        <v>1</v>
      </c>
      <c r="AF6" s="173"/>
      <c r="AG6" s="174"/>
      <c r="AH6" s="174"/>
      <c r="AI6" s="174"/>
      <c r="AJ6" s="174"/>
      <c r="AK6" s="174"/>
      <c r="AL6" s="174"/>
      <c r="AM6" s="174"/>
      <c r="AN6" s="174"/>
      <c r="AO6" s="174"/>
      <c r="AP6" s="174"/>
      <c r="AQ6" s="174"/>
      <c r="AR6" s="174"/>
      <c r="AS6" s="174"/>
      <c r="AT6" s="174" t="str">
        <f>"" &amp; TEXT(AE6,"#0.00%") &amp; " " &amp; "계획" &amp; " " &amp; IF(P6="","",TEXT(P6,"M/D-")) &amp; IF(Q6="","",TEXT(Q6,"M/D")) &amp; " "</f>
        <v xml:space="preserve">100.00% 계획 9/4-9/12 </v>
      </c>
      <c r="AU6" s="174"/>
      <c r="AV6" s="174"/>
      <c r="AW6" s="174"/>
      <c r="AX6" s="174"/>
      <c r="AY6" s="174"/>
      <c r="AZ6" s="174"/>
      <c r="BA6" s="174"/>
      <c r="BB6" s="174"/>
      <c r="BC6" s="174"/>
      <c r="BD6" s="174"/>
      <c r="BE6" s="174"/>
      <c r="BF6" s="174"/>
      <c r="BG6" s="174"/>
      <c r="BH6" s="174"/>
      <c r="BI6" s="174"/>
      <c r="BJ6" s="174"/>
      <c r="BK6" s="174"/>
      <c r="BL6" s="174"/>
      <c r="BM6" s="174"/>
      <c r="BN6" s="174"/>
      <c r="BO6" s="174"/>
      <c r="BP6" s="174"/>
      <c r="BQ6" s="174"/>
      <c r="BR6" s="174"/>
      <c r="BS6" s="174"/>
      <c r="BT6" s="174"/>
      <c r="BU6" s="174"/>
      <c r="BV6" s="174"/>
      <c r="BW6" s="174"/>
      <c r="BX6" s="174"/>
      <c r="BY6" s="174"/>
      <c r="BZ6" s="174"/>
      <c r="CA6" s="174"/>
      <c r="CB6" s="174"/>
      <c r="CC6" s="174"/>
      <c r="CD6" s="174"/>
      <c r="CE6" s="174"/>
      <c r="CF6" s="174"/>
      <c r="CG6" s="174"/>
      <c r="CH6" s="174"/>
      <c r="CI6" s="174"/>
      <c r="CJ6" s="174"/>
      <c r="CK6" s="174"/>
      <c r="CL6" s="174"/>
      <c r="CM6" s="174"/>
      <c r="CN6" s="174"/>
      <c r="CO6" s="174"/>
      <c r="CP6" s="174"/>
      <c r="CQ6" s="174"/>
      <c r="CR6" s="174"/>
      <c r="CS6" s="174"/>
      <c r="CT6" s="174"/>
      <c r="CU6" s="174"/>
      <c r="CV6" s="174"/>
      <c r="CW6" s="174"/>
      <c r="CX6" s="174"/>
      <c r="CY6" s="174"/>
      <c r="CZ6" s="174"/>
      <c r="DA6" s="174"/>
      <c r="DB6" s="174"/>
      <c r="DC6" s="174"/>
      <c r="DD6" s="174"/>
      <c r="DE6" s="174"/>
      <c r="DF6" s="174"/>
      <c r="DG6" s="174"/>
      <c r="DH6" s="174"/>
      <c r="DI6" s="174"/>
      <c r="DJ6" s="174"/>
      <c r="DK6" s="174"/>
      <c r="DL6" s="174"/>
      <c r="DM6" s="174"/>
      <c r="DN6" s="174"/>
      <c r="DO6" s="174"/>
      <c r="DP6" s="174"/>
      <c r="DQ6" s="174"/>
      <c r="DR6" s="174"/>
      <c r="DS6" s="174"/>
      <c r="DT6" s="174"/>
      <c r="DU6" s="174"/>
      <c r="DV6" s="174"/>
      <c r="DW6" s="174"/>
      <c r="DX6" s="174"/>
      <c r="DY6" s="174"/>
    </row>
    <row r="7" spans="1:129" ht="12" customHeight="1" outlineLevel="2">
      <c r="A7" s="162"/>
      <c r="B7" s="162"/>
      <c r="C7" s="162">
        <v>3</v>
      </c>
      <c r="D7" s="163" t="s">
        <v>1112</v>
      </c>
      <c r="E7" s="164"/>
      <c r="F7" s="164"/>
      <c r="G7" s="164" t="s">
        <v>1554</v>
      </c>
      <c r="H7" s="164"/>
      <c r="I7" s="164"/>
      <c r="J7" s="164"/>
      <c r="K7" s="164"/>
      <c r="L7" s="164"/>
      <c r="M7" s="164"/>
      <c r="N7" s="164"/>
      <c r="O7" s="164"/>
      <c r="P7" s="165">
        <v>44078</v>
      </c>
      <c r="Q7" s="165">
        <v>44081</v>
      </c>
      <c r="R7" s="166"/>
      <c r="S7" s="167">
        <v>2</v>
      </c>
      <c r="T7" s="167">
        <v>2</v>
      </c>
      <c r="U7" s="167">
        <v>2</v>
      </c>
      <c r="V7" s="167">
        <v>2</v>
      </c>
      <c r="W7" s="165"/>
      <c r="X7" s="165"/>
      <c r="Y7" s="168"/>
      <c r="Z7" s="169">
        <v>0</v>
      </c>
      <c r="AA7" s="167"/>
      <c r="AB7" s="166" t="s">
        <v>1590</v>
      </c>
      <c r="AC7" s="170"/>
      <c r="AD7" s="171">
        <v>1</v>
      </c>
      <c r="AE7" s="172">
        <v>1</v>
      </c>
      <c r="AF7" s="173"/>
      <c r="AG7" s="174"/>
      <c r="AH7" s="174"/>
      <c r="AI7" s="174"/>
      <c r="AJ7" s="174"/>
      <c r="AK7" s="174"/>
      <c r="AL7" s="174"/>
      <c r="AM7" s="174"/>
      <c r="AN7" s="174"/>
      <c r="AO7" s="174" t="str">
        <f>"" &amp; TEXT(AE7,"#0.00%") &amp; " " &amp; "주제 선정을 위한 브레인 스토밍" &amp; "(팀원 모두)" &amp; " " &amp; IF(P7="","",TEXT(P7,"M/D-")) &amp; IF(Q7="","",TEXT(Q7,"M/D")) &amp; " "</f>
        <v xml:space="preserve">100.00% 주제 선정을 위한 브레인 스토밍(팀원 모두) 9/4-9/7 </v>
      </c>
      <c r="AP7" s="174"/>
      <c r="AQ7" s="174"/>
      <c r="AR7" s="174"/>
      <c r="AS7" s="174"/>
      <c r="AT7" s="174"/>
      <c r="AU7" s="174"/>
      <c r="AV7" s="174"/>
      <c r="AW7" s="174"/>
      <c r="AX7" s="174"/>
      <c r="AY7" s="174"/>
      <c r="AZ7" s="174"/>
      <c r="BA7" s="174"/>
      <c r="BB7" s="174"/>
      <c r="BC7" s="174"/>
      <c r="BD7" s="174"/>
      <c r="BE7" s="174"/>
      <c r="BF7" s="174"/>
      <c r="BG7" s="174"/>
      <c r="BH7" s="174"/>
      <c r="BI7" s="174"/>
      <c r="BJ7" s="174"/>
      <c r="BK7" s="174"/>
      <c r="BL7" s="174"/>
      <c r="BM7" s="174"/>
      <c r="BN7" s="174"/>
      <c r="BO7" s="174"/>
      <c r="BP7" s="174"/>
      <c r="BQ7" s="174"/>
      <c r="BR7" s="174"/>
      <c r="BS7" s="174"/>
      <c r="BT7" s="174"/>
      <c r="BU7" s="174"/>
      <c r="BV7" s="174"/>
      <c r="BW7" s="174"/>
      <c r="BX7" s="174"/>
      <c r="BY7" s="174"/>
      <c r="BZ7" s="174"/>
      <c r="CA7" s="174"/>
      <c r="CB7" s="174"/>
      <c r="CC7" s="174"/>
      <c r="CD7" s="174"/>
      <c r="CE7" s="174"/>
      <c r="CF7" s="174"/>
      <c r="CG7" s="174"/>
      <c r="CH7" s="174"/>
      <c r="CI7" s="174"/>
      <c r="CJ7" s="174"/>
      <c r="CK7" s="174"/>
      <c r="CL7" s="174"/>
      <c r="CM7" s="174"/>
      <c r="CN7" s="174"/>
      <c r="CO7" s="174"/>
      <c r="CP7" s="174"/>
      <c r="CQ7" s="174"/>
      <c r="CR7" s="174"/>
      <c r="CS7" s="174"/>
      <c r="CT7" s="174"/>
      <c r="CU7" s="174"/>
      <c r="CV7" s="174"/>
      <c r="CW7" s="174"/>
      <c r="CX7" s="174"/>
      <c r="CY7" s="174"/>
      <c r="CZ7" s="174"/>
      <c r="DA7" s="174"/>
      <c r="DB7" s="174"/>
      <c r="DC7" s="174"/>
      <c r="DD7" s="174"/>
      <c r="DE7" s="174"/>
      <c r="DF7" s="174"/>
      <c r="DG7" s="174"/>
      <c r="DH7" s="174"/>
      <c r="DI7" s="174"/>
      <c r="DJ7" s="174"/>
      <c r="DK7" s="174"/>
      <c r="DL7" s="174"/>
      <c r="DM7" s="174"/>
      <c r="DN7" s="174"/>
      <c r="DO7" s="174"/>
      <c r="DP7" s="174"/>
      <c r="DQ7" s="174"/>
      <c r="DR7" s="174"/>
      <c r="DS7" s="174"/>
      <c r="DT7" s="174"/>
      <c r="DU7" s="174"/>
      <c r="DV7" s="174"/>
      <c r="DW7" s="174"/>
      <c r="DX7" s="174"/>
      <c r="DY7" s="174"/>
    </row>
    <row r="8" spans="1:129" ht="12" customHeight="1" outlineLevel="2">
      <c r="A8" s="162"/>
      <c r="B8" s="162"/>
      <c r="C8" s="162">
        <v>3</v>
      </c>
      <c r="D8" s="163" t="s">
        <v>1113</v>
      </c>
      <c r="E8" s="164"/>
      <c r="F8" s="164"/>
      <c r="G8" s="164" t="s">
        <v>1557</v>
      </c>
      <c r="H8" s="164"/>
      <c r="I8" s="164"/>
      <c r="J8" s="164"/>
      <c r="K8" s="164"/>
      <c r="L8" s="164"/>
      <c r="M8" s="164"/>
      <c r="N8" s="164"/>
      <c r="O8" s="164"/>
      <c r="P8" s="165">
        <v>44082</v>
      </c>
      <c r="Q8" s="165">
        <v>44085</v>
      </c>
      <c r="R8" s="166"/>
      <c r="S8" s="167">
        <v>4</v>
      </c>
      <c r="T8" s="167">
        <v>4</v>
      </c>
      <c r="U8" s="167">
        <v>4</v>
      </c>
      <c r="V8" s="167">
        <v>4</v>
      </c>
      <c r="W8" s="165"/>
      <c r="X8" s="165"/>
      <c r="Y8" s="168"/>
      <c r="Z8" s="169">
        <v>0</v>
      </c>
      <c r="AA8" s="167"/>
      <c r="AB8" s="166" t="s">
        <v>1590</v>
      </c>
      <c r="AC8" s="170"/>
      <c r="AD8" s="171">
        <v>1</v>
      </c>
      <c r="AE8" s="172">
        <v>1</v>
      </c>
      <c r="AF8" s="173"/>
      <c r="AG8" s="174"/>
      <c r="AH8" s="174"/>
      <c r="AI8" s="174"/>
      <c r="AJ8" s="174"/>
      <c r="AK8" s="174"/>
      <c r="AL8" s="174"/>
      <c r="AM8" s="174"/>
      <c r="AN8" s="174"/>
      <c r="AO8" s="174"/>
      <c r="AP8" s="174"/>
      <c r="AQ8" s="174"/>
      <c r="AR8" s="174"/>
      <c r="AS8" s="174" t="str">
        <f>"" &amp; TEXT(AE8,"#0.00%") &amp; " " &amp; "본인이 선정한 아이디어 발표 준비" &amp; "(팀원 모두)" &amp; " " &amp; IF(P8="","",TEXT(P8,"M/D-")) &amp; IF(Q8="","",TEXT(Q8,"M/D")) &amp; " "</f>
        <v xml:space="preserve">100.00% 본인이 선정한 아이디어 발표 준비(팀원 모두) 9/8-9/11 </v>
      </c>
      <c r="AT8" s="174"/>
      <c r="AU8" s="174"/>
      <c r="AV8" s="174"/>
      <c r="AW8" s="174"/>
      <c r="AX8" s="174"/>
      <c r="AY8" s="174"/>
      <c r="AZ8" s="174"/>
      <c r="BA8" s="174"/>
      <c r="BB8" s="174"/>
      <c r="BC8" s="174"/>
      <c r="BD8" s="174"/>
      <c r="BE8" s="174"/>
      <c r="BF8" s="174"/>
      <c r="BG8" s="174"/>
      <c r="BH8" s="174"/>
      <c r="BI8" s="174"/>
      <c r="BJ8" s="174"/>
      <c r="BK8" s="174"/>
      <c r="BL8" s="174"/>
      <c r="BM8" s="174"/>
      <c r="BN8" s="174"/>
      <c r="BO8" s="174"/>
      <c r="BP8" s="174"/>
      <c r="BQ8" s="174"/>
      <c r="BR8" s="174"/>
      <c r="BS8" s="174"/>
      <c r="BT8" s="174"/>
      <c r="BU8" s="174"/>
      <c r="BV8" s="174"/>
      <c r="BW8" s="174"/>
      <c r="BX8" s="174"/>
      <c r="BY8" s="174"/>
      <c r="BZ8" s="174"/>
      <c r="CA8" s="174"/>
      <c r="CB8" s="174"/>
      <c r="CC8" s="174"/>
      <c r="CD8" s="174"/>
      <c r="CE8" s="174"/>
      <c r="CF8" s="174"/>
      <c r="CG8" s="174"/>
      <c r="CH8" s="174"/>
      <c r="CI8" s="174"/>
      <c r="CJ8" s="174"/>
      <c r="CK8" s="174"/>
      <c r="CL8" s="174"/>
      <c r="CM8" s="174"/>
      <c r="CN8" s="174"/>
      <c r="CO8" s="174"/>
      <c r="CP8" s="174"/>
      <c r="CQ8" s="174"/>
      <c r="CR8" s="174"/>
      <c r="CS8" s="174"/>
      <c r="CT8" s="174"/>
      <c r="CU8" s="174"/>
      <c r="CV8" s="174"/>
      <c r="CW8" s="174"/>
      <c r="CX8" s="174"/>
      <c r="CY8" s="174"/>
      <c r="CZ8" s="174"/>
      <c r="DA8" s="174"/>
      <c r="DB8" s="174"/>
      <c r="DC8" s="174"/>
      <c r="DD8" s="174"/>
      <c r="DE8" s="174"/>
      <c r="DF8" s="174"/>
      <c r="DG8" s="174"/>
      <c r="DH8" s="174"/>
      <c r="DI8" s="174"/>
      <c r="DJ8" s="174"/>
      <c r="DK8" s="174"/>
      <c r="DL8" s="174"/>
      <c r="DM8" s="174"/>
      <c r="DN8" s="174"/>
      <c r="DO8" s="174"/>
      <c r="DP8" s="174"/>
      <c r="DQ8" s="174"/>
      <c r="DR8" s="174"/>
      <c r="DS8" s="174"/>
      <c r="DT8" s="174"/>
      <c r="DU8" s="174"/>
      <c r="DV8" s="174"/>
      <c r="DW8" s="174"/>
      <c r="DX8" s="174"/>
      <c r="DY8" s="174"/>
    </row>
    <row r="9" spans="1:129" ht="12" customHeight="1" outlineLevel="2">
      <c r="A9" s="162"/>
      <c r="B9" s="162"/>
      <c r="C9" s="162">
        <v>3</v>
      </c>
      <c r="D9" s="163" t="s">
        <v>1134</v>
      </c>
      <c r="E9" s="164"/>
      <c r="F9" s="164"/>
      <c r="G9" s="164" t="s">
        <v>1556</v>
      </c>
      <c r="H9" s="164"/>
      <c r="I9" s="164"/>
      <c r="J9" s="164"/>
      <c r="K9" s="164"/>
      <c r="L9" s="164"/>
      <c r="M9" s="164"/>
      <c r="N9" s="164"/>
      <c r="O9" s="164"/>
      <c r="P9" s="165">
        <v>44086</v>
      </c>
      <c r="Q9" s="165">
        <v>44086</v>
      </c>
      <c r="R9" s="166"/>
      <c r="S9" s="167">
        <v>0</v>
      </c>
      <c r="T9" s="167">
        <v>0</v>
      </c>
      <c r="U9" s="167">
        <v>0</v>
      </c>
      <c r="V9" s="167">
        <v>0</v>
      </c>
      <c r="W9" s="165"/>
      <c r="X9" s="165"/>
      <c r="Y9" s="168"/>
      <c r="Z9" s="169">
        <v>0</v>
      </c>
      <c r="AA9" s="167"/>
      <c r="AB9" s="166" t="s">
        <v>1590</v>
      </c>
      <c r="AC9" s="170"/>
      <c r="AD9" s="171">
        <v>0</v>
      </c>
      <c r="AE9" s="172">
        <v>1</v>
      </c>
      <c r="AF9" s="173"/>
      <c r="AG9" s="174"/>
      <c r="AH9" s="174"/>
      <c r="AI9" s="174"/>
      <c r="AJ9" s="174"/>
      <c r="AK9" s="174"/>
      <c r="AL9" s="174"/>
      <c r="AM9" s="174"/>
      <c r="AN9" s="174"/>
      <c r="AO9" s="174"/>
      <c r="AP9" s="174"/>
      <c r="AQ9" s="174"/>
      <c r="AR9" s="174"/>
      <c r="AS9" s="174"/>
      <c r="AT9" s="174" t="str">
        <f>"" &amp; TEXT(AE9,"#0.00%") &amp; " " &amp; "아이디어 선정 회의" &amp; "(팀원 모두)" &amp; " " &amp; IF(P9="","",TEXT(P9,"M/D-")) &amp; IF(Q9="","",TEXT(Q9,"M/D")) &amp; " "</f>
        <v xml:space="preserve">100.00% 아이디어 선정 회의(팀원 모두) 9/12-9/12 </v>
      </c>
      <c r="AU9" s="174"/>
      <c r="AV9" s="174"/>
      <c r="AW9" s="174"/>
      <c r="AX9" s="174"/>
      <c r="AY9" s="174"/>
      <c r="AZ9" s="174"/>
      <c r="BA9" s="174"/>
      <c r="BB9" s="174"/>
      <c r="BC9" s="174"/>
      <c r="BD9" s="174"/>
      <c r="BE9" s="174"/>
      <c r="BF9" s="174"/>
      <c r="BG9" s="174"/>
      <c r="BH9" s="174"/>
      <c r="BI9" s="174"/>
      <c r="BJ9" s="174"/>
      <c r="BK9" s="174"/>
      <c r="BL9" s="174"/>
      <c r="BM9" s="174"/>
      <c r="BN9" s="174"/>
      <c r="BO9" s="174"/>
      <c r="BP9" s="174"/>
      <c r="BQ9" s="174"/>
      <c r="BR9" s="174"/>
      <c r="BS9" s="174"/>
      <c r="BT9" s="174"/>
      <c r="BU9" s="174"/>
      <c r="BV9" s="174"/>
      <c r="BW9" s="174"/>
      <c r="BX9" s="174"/>
      <c r="BY9" s="174"/>
      <c r="BZ9" s="174"/>
      <c r="CA9" s="174"/>
      <c r="CB9" s="174"/>
      <c r="CC9" s="174"/>
      <c r="CD9" s="174"/>
      <c r="CE9" s="174"/>
      <c r="CF9" s="174"/>
      <c r="CG9" s="174"/>
      <c r="CH9" s="174"/>
      <c r="CI9" s="174"/>
      <c r="CJ9" s="174"/>
      <c r="CK9" s="174"/>
      <c r="CL9" s="174"/>
      <c r="CM9" s="174"/>
      <c r="CN9" s="174"/>
      <c r="CO9" s="174"/>
      <c r="CP9" s="174"/>
      <c r="CQ9" s="174"/>
      <c r="CR9" s="174"/>
      <c r="CS9" s="174"/>
      <c r="CT9" s="174"/>
      <c r="CU9" s="174"/>
      <c r="CV9" s="174"/>
      <c r="CW9" s="174"/>
      <c r="CX9" s="174"/>
      <c r="CY9" s="174"/>
      <c r="CZ9" s="174"/>
      <c r="DA9" s="174"/>
      <c r="DB9" s="174"/>
      <c r="DC9" s="174"/>
      <c r="DD9" s="174"/>
      <c r="DE9" s="174"/>
      <c r="DF9" s="174"/>
      <c r="DG9" s="174"/>
      <c r="DH9" s="174"/>
      <c r="DI9" s="174"/>
      <c r="DJ9" s="174"/>
      <c r="DK9" s="174"/>
      <c r="DL9" s="174"/>
      <c r="DM9" s="174"/>
      <c r="DN9" s="174"/>
      <c r="DO9" s="174"/>
      <c r="DP9" s="174"/>
      <c r="DQ9" s="174"/>
      <c r="DR9" s="174"/>
      <c r="DS9" s="174"/>
      <c r="DT9" s="174"/>
      <c r="DU9" s="174"/>
      <c r="DV9" s="174"/>
      <c r="DW9" s="174"/>
      <c r="DX9" s="174"/>
      <c r="DY9" s="174"/>
    </row>
    <row r="10" spans="1:129" ht="12" customHeight="1" outlineLevel="1">
      <c r="A10" s="162">
        <v>0</v>
      </c>
      <c r="B10" s="162" t="s">
        <v>1437</v>
      </c>
      <c r="C10" s="162">
        <v>2</v>
      </c>
      <c r="D10" s="163" t="s">
        <v>1114</v>
      </c>
      <c r="E10" s="164"/>
      <c r="F10" s="164" t="s">
        <v>1558</v>
      </c>
      <c r="G10" s="164"/>
      <c r="H10" s="164"/>
      <c r="I10" s="164"/>
      <c r="J10" s="164"/>
      <c r="K10" s="164"/>
      <c r="L10" s="164"/>
      <c r="M10" s="164"/>
      <c r="N10" s="164"/>
      <c r="O10" s="164"/>
      <c r="P10" s="165">
        <v>44088</v>
      </c>
      <c r="Q10" s="165">
        <v>44101</v>
      </c>
      <c r="R10" s="166"/>
      <c r="S10" s="167">
        <v>15</v>
      </c>
      <c r="T10" s="167">
        <v>15</v>
      </c>
      <c r="U10" s="167">
        <v>10</v>
      </c>
      <c r="V10" s="167">
        <v>10</v>
      </c>
      <c r="W10" s="165"/>
      <c r="X10" s="165"/>
      <c r="Y10" s="168">
        <v>0</v>
      </c>
      <c r="Z10" s="169">
        <v>0</v>
      </c>
      <c r="AA10" s="167"/>
      <c r="AB10" s="166"/>
      <c r="AC10" s="170"/>
      <c r="AD10" s="171">
        <v>1</v>
      </c>
      <c r="AE10" s="172">
        <v>1</v>
      </c>
      <c r="AF10" s="173"/>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174" t="str">
        <f>"" &amp; TEXT(AE10,"#0.00%") &amp; " " &amp; "교육" &amp; " " &amp; IF(P10="","",TEXT(P10,"M/D-")) &amp; IF(Q10="","",TEXT(Q10,"M/D")) &amp; " "</f>
        <v xml:space="preserve">100.00% 교육 9/14-9/27 </v>
      </c>
      <c r="BJ10" s="174"/>
      <c r="BK10" s="174"/>
      <c r="BL10" s="174"/>
      <c r="BM10" s="174"/>
      <c r="BN10" s="174"/>
      <c r="BO10" s="174"/>
      <c r="BP10" s="174"/>
      <c r="BQ10" s="174"/>
      <c r="BR10" s="174"/>
      <c r="BS10" s="174"/>
      <c r="BT10" s="174"/>
      <c r="BU10" s="174"/>
      <c r="BV10" s="174"/>
      <c r="BW10" s="174"/>
      <c r="BX10" s="174"/>
      <c r="BY10" s="174"/>
      <c r="BZ10" s="174"/>
      <c r="CA10" s="174"/>
      <c r="CB10" s="174"/>
      <c r="CC10" s="174"/>
      <c r="CD10" s="174"/>
      <c r="CE10" s="174"/>
      <c r="CF10" s="174"/>
      <c r="CG10" s="174"/>
      <c r="CH10" s="174"/>
      <c r="CI10" s="174"/>
      <c r="CJ10" s="174"/>
      <c r="CK10" s="174"/>
      <c r="CL10" s="174"/>
      <c r="CM10" s="174"/>
      <c r="CN10" s="174"/>
      <c r="CO10" s="174"/>
      <c r="CP10" s="174"/>
      <c r="CQ10" s="174"/>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row>
    <row r="11" spans="1:129" ht="12" customHeight="1" outlineLevel="2">
      <c r="A11" s="162"/>
      <c r="B11" s="162"/>
      <c r="C11" s="162">
        <v>3</v>
      </c>
      <c r="D11" s="163" t="s">
        <v>1115</v>
      </c>
      <c r="E11" s="164"/>
      <c r="F11" s="164"/>
      <c r="G11" s="164" t="s">
        <v>1559</v>
      </c>
      <c r="H11" s="164"/>
      <c r="I11" s="164"/>
      <c r="J11" s="164"/>
      <c r="K11" s="164"/>
      <c r="L11" s="164"/>
      <c r="M11" s="164"/>
      <c r="N11" s="164"/>
      <c r="O11" s="164"/>
      <c r="P11" s="165">
        <v>44088</v>
      </c>
      <c r="Q11" s="165">
        <v>44101</v>
      </c>
      <c r="R11" s="166"/>
      <c r="S11" s="167">
        <v>10</v>
      </c>
      <c r="T11" s="167">
        <v>10</v>
      </c>
      <c r="U11" s="167">
        <v>10</v>
      </c>
      <c r="V11" s="167">
        <v>10</v>
      </c>
      <c r="W11" s="165"/>
      <c r="X11" s="165"/>
      <c r="Y11" s="168"/>
      <c r="Z11" s="169">
        <v>0</v>
      </c>
      <c r="AA11" s="167"/>
      <c r="AB11" s="166" t="s">
        <v>1591</v>
      </c>
      <c r="AC11" s="170"/>
      <c r="AD11" s="171">
        <v>1</v>
      </c>
      <c r="AE11" s="172">
        <v>1</v>
      </c>
      <c r="AF11" s="173"/>
      <c r="AG11" s="174"/>
      <c r="AH11" s="174"/>
      <c r="AI11" s="174"/>
      <c r="AJ11" s="174"/>
      <c r="AK11" s="174"/>
      <c r="AL11" s="174"/>
      <c r="AM11" s="174"/>
      <c r="AN11" s="174"/>
      <c r="AO11" s="174"/>
      <c r="AP11" s="174"/>
      <c r="AQ11" s="174"/>
      <c r="AR11" s="174"/>
      <c r="AS11" s="174"/>
      <c r="AT11" s="174"/>
      <c r="AU11" s="174"/>
      <c r="AV11" s="174"/>
      <c r="AW11" s="174"/>
      <c r="AX11" s="174"/>
      <c r="AY11" s="174"/>
      <c r="AZ11" s="174"/>
      <c r="BA11" s="174"/>
      <c r="BB11" s="174"/>
      <c r="BC11" s="174"/>
      <c r="BD11" s="174"/>
      <c r="BE11" s="174"/>
      <c r="BF11" s="174"/>
      <c r="BG11" s="174"/>
      <c r="BH11" s="174"/>
      <c r="BI11" s="174" t="str">
        <f>"" &amp; TEXT(AE11,"#0.00%") &amp; " " &amp; "Pyhton 교육" &amp; "(교육담당 : 남인우)" &amp; " " &amp; IF(P11="","",TEXT(P11,"M/D-")) &amp; IF(Q11="","",TEXT(Q11,"M/D")) &amp; " "</f>
        <v xml:space="preserve">100.00% Pyhton 교육(교육담당 : 남인우) 9/14-9/27 </v>
      </c>
      <c r="BJ11" s="174"/>
      <c r="BK11" s="174"/>
      <c r="BL11" s="174"/>
      <c r="BM11" s="174"/>
      <c r="BN11" s="174"/>
      <c r="BO11" s="174"/>
      <c r="BP11" s="174"/>
      <c r="BQ11" s="174"/>
      <c r="BR11" s="174"/>
      <c r="BS11" s="174"/>
      <c r="BT11" s="174"/>
      <c r="BU11" s="174"/>
      <c r="BV11" s="174"/>
      <c r="BW11" s="174"/>
      <c r="BX11" s="174"/>
      <c r="BY11" s="174"/>
      <c r="BZ11" s="174"/>
      <c r="CA11" s="174"/>
      <c r="CB11" s="174"/>
      <c r="CC11" s="174"/>
      <c r="CD11" s="174"/>
      <c r="CE11" s="174"/>
      <c r="CF11" s="174"/>
      <c r="CG11" s="174"/>
      <c r="CH11" s="174"/>
      <c r="CI11" s="174"/>
      <c r="CJ11" s="174"/>
      <c r="CK11" s="174"/>
      <c r="CL11" s="174"/>
      <c r="CM11" s="174"/>
      <c r="CN11" s="174"/>
      <c r="CO11" s="174"/>
      <c r="CP11" s="174"/>
      <c r="CQ11" s="174"/>
      <c r="CR11" s="174"/>
      <c r="CS11" s="174"/>
      <c r="CT11" s="174"/>
      <c r="CU11" s="174"/>
      <c r="CV11" s="174"/>
      <c r="CW11" s="174"/>
      <c r="CX11" s="174"/>
      <c r="CY11" s="174"/>
      <c r="CZ11" s="174"/>
      <c r="DA11" s="174"/>
      <c r="DB11" s="174"/>
      <c r="DC11" s="174"/>
      <c r="DD11" s="174"/>
      <c r="DE11" s="174"/>
      <c r="DF11" s="174"/>
      <c r="DG11" s="174"/>
      <c r="DH11" s="174"/>
      <c r="DI11" s="174"/>
      <c r="DJ11" s="174"/>
      <c r="DK11" s="174"/>
      <c r="DL11" s="174"/>
      <c r="DM11" s="174"/>
      <c r="DN11" s="174"/>
      <c r="DO11" s="174"/>
      <c r="DP11" s="174"/>
      <c r="DQ11" s="174"/>
      <c r="DR11" s="174"/>
      <c r="DS11" s="174"/>
      <c r="DT11" s="174"/>
      <c r="DU11" s="174"/>
      <c r="DV11" s="174"/>
      <c r="DW11" s="174"/>
      <c r="DX11" s="174"/>
      <c r="DY11" s="174"/>
    </row>
    <row r="12" spans="1:129" ht="12" customHeight="1" outlineLevel="2">
      <c r="A12" s="162"/>
      <c r="B12" s="162"/>
      <c r="C12" s="162">
        <v>3</v>
      </c>
      <c r="D12" s="163" t="s">
        <v>1136</v>
      </c>
      <c r="E12" s="164"/>
      <c r="F12" s="164"/>
      <c r="G12" s="164" t="s">
        <v>1560</v>
      </c>
      <c r="H12" s="164"/>
      <c r="I12" s="164"/>
      <c r="J12" s="164"/>
      <c r="K12" s="164"/>
      <c r="L12" s="164"/>
      <c r="M12" s="164"/>
      <c r="N12" s="164"/>
      <c r="O12" s="164"/>
      <c r="P12" s="165">
        <v>44095</v>
      </c>
      <c r="Q12" s="165">
        <v>44101</v>
      </c>
      <c r="R12" s="166"/>
      <c r="S12" s="167">
        <v>5</v>
      </c>
      <c r="T12" s="167">
        <v>5</v>
      </c>
      <c r="U12" s="167">
        <v>5</v>
      </c>
      <c r="V12" s="167">
        <v>5</v>
      </c>
      <c r="W12" s="165"/>
      <c r="X12" s="165"/>
      <c r="Y12" s="168"/>
      <c r="Z12" s="169">
        <v>0</v>
      </c>
      <c r="AA12" s="167"/>
      <c r="AB12" s="166" t="s">
        <v>1590</v>
      </c>
      <c r="AC12" s="170"/>
      <c r="AD12" s="171">
        <v>1</v>
      </c>
      <c r="AE12" s="172">
        <v>1</v>
      </c>
      <c r="AF12" s="173"/>
      <c r="AG12" s="174"/>
      <c r="AH12" s="174"/>
      <c r="AI12" s="174"/>
      <c r="AJ12" s="174"/>
      <c r="AK12" s="174"/>
      <c r="AL12" s="174"/>
      <c r="AM12" s="174"/>
      <c r="AN12" s="174"/>
      <c r="AO12" s="174"/>
      <c r="AP12" s="174"/>
      <c r="AQ12" s="174"/>
      <c r="AR12" s="174"/>
      <c r="AS12" s="174"/>
      <c r="AT12" s="174"/>
      <c r="AU12" s="174"/>
      <c r="AV12" s="174"/>
      <c r="AW12" s="174"/>
      <c r="AX12" s="174"/>
      <c r="AY12" s="174"/>
      <c r="AZ12" s="174"/>
      <c r="BA12" s="174"/>
      <c r="BB12" s="174"/>
      <c r="BC12" s="174"/>
      <c r="BD12" s="174"/>
      <c r="BE12" s="174"/>
      <c r="BF12" s="174"/>
      <c r="BG12" s="174"/>
      <c r="BH12" s="174"/>
      <c r="BI12" s="174" t="str">
        <f>"" &amp; TEXT(AE12,"#0.00%") &amp; " " &amp; "웹크롤링 연습" &amp; "(팀원 모두)" &amp; " " &amp; IF(P12="","",TEXT(P12,"M/D-")) &amp; IF(Q12="","",TEXT(Q12,"M/D")) &amp; " "</f>
        <v xml:space="preserve">100.00% 웹크롤링 연습(팀원 모두) 9/21-9/27 </v>
      </c>
      <c r="BJ12" s="174"/>
      <c r="BK12" s="174"/>
      <c r="BL12" s="174"/>
      <c r="BM12" s="174"/>
      <c r="BN12" s="174"/>
      <c r="BO12" s="174"/>
      <c r="BP12" s="174"/>
      <c r="BQ12" s="174"/>
      <c r="BR12" s="174"/>
      <c r="BS12" s="174"/>
      <c r="BT12" s="174"/>
      <c r="BU12" s="174"/>
      <c r="BV12" s="174"/>
      <c r="BW12" s="174"/>
      <c r="BX12" s="174"/>
      <c r="BY12" s="174"/>
      <c r="BZ12" s="174"/>
      <c r="CA12" s="174"/>
      <c r="CB12" s="174"/>
      <c r="CC12" s="174"/>
      <c r="CD12" s="174"/>
      <c r="CE12" s="174"/>
      <c r="CF12" s="174"/>
      <c r="CG12" s="174"/>
      <c r="CH12" s="174"/>
      <c r="CI12" s="174"/>
      <c r="CJ12" s="174"/>
      <c r="CK12" s="174"/>
      <c r="CL12" s="174"/>
      <c r="CM12" s="174"/>
      <c r="CN12" s="174"/>
      <c r="CO12" s="174"/>
      <c r="CP12" s="174"/>
      <c r="CQ12" s="174"/>
      <c r="CR12" s="174"/>
      <c r="CS12" s="174"/>
      <c r="CT12" s="174"/>
      <c r="CU12" s="174"/>
      <c r="CV12" s="174"/>
      <c r="CW12" s="174"/>
      <c r="CX12" s="174"/>
      <c r="CY12" s="174"/>
      <c r="CZ12" s="174"/>
      <c r="DA12" s="174"/>
      <c r="DB12" s="174"/>
      <c r="DC12" s="174"/>
      <c r="DD12" s="174"/>
      <c r="DE12" s="174"/>
      <c r="DF12" s="174"/>
      <c r="DG12" s="174"/>
      <c r="DH12" s="174"/>
      <c r="DI12" s="174"/>
      <c r="DJ12" s="174"/>
      <c r="DK12" s="174"/>
      <c r="DL12" s="174"/>
      <c r="DM12" s="174"/>
      <c r="DN12" s="174"/>
      <c r="DO12" s="174"/>
      <c r="DP12" s="174"/>
      <c r="DQ12" s="174"/>
      <c r="DR12" s="174"/>
      <c r="DS12" s="174"/>
      <c r="DT12" s="174"/>
      <c r="DU12" s="174"/>
      <c r="DV12" s="174"/>
      <c r="DW12" s="174"/>
      <c r="DX12" s="174"/>
      <c r="DY12" s="174"/>
    </row>
    <row r="13" spans="1:129" ht="12" customHeight="1" outlineLevel="1">
      <c r="A13" s="162"/>
      <c r="B13" s="162" t="s">
        <v>1437</v>
      </c>
      <c r="C13" s="162">
        <v>2</v>
      </c>
      <c r="D13" s="163" t="s">
        <v>1116</v>
      </c>
      <c r="E13" s="164"/>
      <c r="F13" s="164" t="s">
        <v>1594</v>
      </c>
      <c r="G13" s="164"/>
      <c r="H13" s="164"/>
      <c r="I13" s="164"/>
      <c r="J13" s="164"/>
      <c r="K13" s="164"/>
      <c r="L13" s="164"/>
      <c r="M13" s="164"/>
      <c r="N13" s="164"/>
      <c r="O13" s="164"/>
      <c r="P13" s="165">
        <v>44091</v>
      </c>
      <c r="Q13" s="165">
        <v>44097</v>
      </c>
      <c r="R13" s="166"/>
      <c r="S13" s="167">
        <v>7</v>
      </c>
      <c r="T13" s="167">
        <v>7</v>
      </c>
      <c r="U13" s="167">
        <v>5</v>
      </c>
      <c r="V13" s="167">
        <v>5</v>
      </c>
      <c r="W13" s="165"/>
      <c r="X13" s="165"/>
      <c r="Y13" s="168">
        <v>0</v>
      </c>
      <c r="Z13" s="169">
        <v>0</v>
      </c>
      <c r="AA13" s="167"/>
      <c r="AB13" s="166"/>
      <c r="AC13" s="170"/>
      <c r="AD13" s="171">
        <v>1</v>
      </c>
      <c r="AE13" s="172">
        <v>1</v>
      </c>
      <c r="AF13" s="173"/>
      <c r="AG13" s="174"/>
      <c r="AH13" s="174"/>
      <c r="AI13" s="174"/>
      <c r="AJ13" s="174"/>
      <c r="AK13" s="174"/>
      <c r="AL13" s="174"/>
      <c r="AM13" s="174"/>
      <c r="AN13" s="174"/>
      <c r="AO13" s="174"/>
      <c r="AP13" s="174"/>
      <c r="AQ13" s="174"/>
      <c r="AR13" s="174"/>
      <c r="AS13" s="174"/>
      <c r="AT13" s="174"/>
      <c r="AU13" s="174"/>
      <c r="AV13" s="174"/>
      <c r="AW13" s="174"/>
      <c r="AX13" s="174"/>
      <c r="AY13" s="174"/>
      <c r="AZ13" s="174"/>
      <c r="BA13" s="174"/>
      <c r="BB13" s="174"/>
      <c r="BC13" s="174"/>
      <c r="BD13" s="174"/>
      <c r="BE13" s="174" t="str">
        <f>"" &amp; TEXT(AE13,"#0.00%") &amp; " " &amp; "요구사항 결정" &amp; " " &amp; IF(P13="","",TEXT(P13,"M/D-")) &amp; IF(Q13="","",TEXT(Q13,"M/D")) &amp; " "</f>
        <v xml:space="preserve">100.00% 요구사항 결정 9/17-9/23 </v>
      </c>
      <c r="BF13" s="174"/>
      <c r="BG13" s="174"/>
      <c r="BH13" s="174"/>
      <c r="BI13" s="174"/>
      <c r="BJ13" s="174"/>
      <c r="BK13" s="174"/>
      <c r="BL13" s="174"/>
      <c r="BM13" s="174"/>
      <c r="BN13" s="174"/>
      <c r="BO13" s="174"/>
      <c r="BP13" s="174"/>
      <c r="BQ13" s="174"/>
      <c r="BR13" s="174"/>
      <c r="BS13" s="174"/>
      <c r="BT13" s="174"/>
      <c r="BU13" s="174"/>
      <c r="BV13" s="174"/>
      <c r="BW13" s="174"/>
      <c r="BX13" s="174"/>
      <c r="BY13" s="174"/>
      <c r="BZ13" s="174"/>
      <c r="CA13" s="174"/>
      <c r="CB13" s="174"/>
      <c r="CC13" s="174"/>
      <c r="CD13" s="174"/>
      <c r="CE13" s="174"/>
      <c r="CF13" s="174"/>
      <c r="CG13" s="174"/>
      <c r="CH13" s="174"/>
      <c r="CI13" s="174"/>
      <c r="CJ13" s="174"/>
      <c r="CK13" s="174"/>
      <c r="CL13" s="174"/>
      <c r="CM13" s="174"/>
      <c r="CN13" s="174"/>
      <c r="CO13" s="174"/>
      <c r="CP13" s="174"/>
      <c r="CQ13" s="174"/>
      <c r="CR13" s="174"/>
      <c r="CS13" s="174"/>
      <c r="CT13" s="174"/>
      <c r="CU13" s="174"/>
      <c r="CV13" s="174"/>
      <c r="CW13" s="174"/>
      <c r="CX13" s="174"/>
      <c r="CY13" s="174"/>
      <c r="CZ13" s="174"/>
      <c r="DA13" s="174"/>
      <c r="DB13" s="174"/>
      <c r="DC13" s="174"/>
      <c r="DD13" s="174"/>
      <c r="DE13" s="174"/>
      <c r="DF13" s="174"/>
      <c r="DG13" s="174"/>
      <c r="DH13" s="174"/>
      <c r="DI13" s="174"/>
      <c r="DJ13" s="174"/>
      <c r="DK13" s="174"/>
      <c r="DL13" s="174"/>
      <c r="DM13" s="174"/>
      <c r="DN13" s="174"/>
      <c r="DO13" s="174"/>
      <c r="DP13" s="174"/>
      <c r="DQ13" s="174"/>
      <c r="DR13" s="174"/>
      <c r="DS13" s="174"/>
      <c r="DT13" s="174"/>
      <c r="DU13" s="174"/>
      <c r="DV13" s="174"/>
      <c r="DW13" s="174"/>
      <c r="DX13" s="174"/>
      <c r="DY13" s="174"/>
    </row>
    <row r="14" spans="1:129" ht="12" customHeight="1" outlineLevel="2">
      <c r="A14" s="162"/>
      <c r="B14" s="162"/>
      <c r="C14" s="162">
        <v>3</v>
      </c>
      <c r="D14" s="163" t="s">
        <v>1117</v>
      </c>
      <c r="E14" s="164"/>
      <c r="F14" s="164"/>
      <c r="G14" s="164" t="s">
        <v>1562</v>
      </c>
      <c r="H14" s="164"/>
      <c r="I14" s="164"/>
      <c r="J14" s="164"/>
      <c r="K14" s="164"/>
      <c r="L14" s="164"/>
      <c r="M14" s="164"/>
      <c r="N14" s="164"/>
      <c r="O14" s="164"/>
      <c r="P14" s="165">
        <v>44091</v>
      </c>
      <c r="Q14" s="165">
        <v>44093</v>
      </c>
      <c r="R14" s="166"/>
      <c r="S14" s="167">
        <v>4</v>
      </c>
      <c r="T14" s="167">
        <v>4</v>
      </c>
      <c r="U14" s="167">
        <v>2</v>
      </c>
      <c r="V14" s="167">
        <v>2</v>
      </c>
      <c r="W14" s="165"/>
      <c r="X14" s="165"/>
      <c r="Y14" s="168"/>
      <c r="Z14" s="169">
        <v>0</v>
      </c>
      <c r="AA14" s="167"/>
      <c r="AB14" s="166" t="s">
        <v>1592</v>
      </c>
      <c r="AC14" s="170"/>
      <c r="AD14" s="171">
        <v>1</v>
      </c>
      <c r="AE14" s="172">
        <v>1</v>
      </c>
      <c r="AF14" s="173"/>
      <c r="AG14" s="174"/>
      <c r="AH14" s="174"/>
      <c r="AI14" s="174"/>
      <c r="AJ14" s="174"/>
      <c r="AK14" s="174"/>
      <c r="AL14" s="174"/>
      <c r="AM14" s="174"/>
      <c r="AN14" s="174"/>
      <c r="AO14" s="174"/>
      <c r="AP14" s="174"/>
      <c r="AQ14" s="174"/>
      <c r="AR14" s="174"/>
      <c r="AS14" s="174"/>
      <c r="AT14" s="174"/>
      <c r="AU14" s="174"/>
      <c r="AV14" s="174"/>
      <c r="AW14" s="174"/>
      <c r="AX14" s="174"/>
      <c r="AY14" s="174"/>
      <c r="AZ14" s="174"/>
      <c r="BA14" s="174" t="str">
        <f>"" &amp; TEXT(AE14,"#0.00%") &amp; " " &amp; "기존의 시스템 분석" &amp; "(김민수, 박지민)" &amp; " " &amp; IF(P14="","",TEXT(P14,"M/D-")) &amp; IF(Q14="","",TEXT(Q14,"M/D")) &amp; " "</f>
        <v xml:space="preserve">100.00% 기존의 시스템 분석(김민수, 박지민) 9/17-9/19 </v>
      </c>
      <c r="BB14" s="174"/>
      <c r="BC14" s="174"/>
      <c r="BD14" s="174"/>
      <c r="BE14" s="174"/>
      <c r="BF14" s="174"/>
      <c r="BG14" s="174"/>
      <c r="BH14" s="174"/>
      <c r="BI14" s="174"/>
      <c r="BJ14" s="174"/>
      <c r="BK14" s="174"/>
      <c r="BL14" s="174"/>
      <c r="BM14" s="174"/>
      <c r="BN14" s="174"/>
      <c r="BO14" s="174"/>
      <c r="BP14" s="174"/>
      <c r="BQ14" s="174"/>
      <c r="BR14" s="174"/>
      <c r="BS14" s="174"/>
      <c r="BT14" s="174"/>
      <c r="BU14" s="174"/>
      <c r="BV14" s="174"/>
      <c r="BW14" s="174"/>
      <c r="BX14" s="174"/>
      <c r="BY14" s="174"/>
      <c r="BZ14" s="174"/>
      <c r="CA14" s="174"/>
      <c r="CB14" s="174"/>
      <c r="CC14" s="174"/>
      <c r="CD14" s="174"/>
      <c r="CE14" s="174"/>
      <c r="CF14" s="174"/>
      <c r="CG14" s="174"/>
      <c r="CH14" s="174"/>
      <c r="CI14" s="174"/>
      <c r="CJ14" s="174"/>
      <c r="CK14" s="174"/>
      <c r="CL14" s="174"/>
      <c r="CM14" s="174"/>
      <c r="CN14" s="174"/>
      <c r="CO14" s="174"/>
      <c r="CP14" s="174"/>
      <c r="CQ14" s="174"/>
      <c r="CR14" s="174"/>
      <c r="CS14" s="174"/>
      <c r="CT14" s="174"/>
      <c r="CU14" s="174"/>
      <c r="CV14" s="174"/>
      <c r="CW14" s="174"/>
      <c r="CX14" s="174"/>
      <c r="CY14" s="174"/>
      <c r="CZ14" s="174"/>
      <c r="DA14" s="174"/>
      <c r="DB14" s="174"/>
      <c r="DC14" s="174"/>
      <c r="DD14" s="174"/>
      <c r="DE14" s="174"/>
      <c r="DF14" s="174"/>
      <c r="DG14" s="174"/>
      <c r="DH14" s="174"/>
      <c r="DI14" s="174"/>
      <c r="DJ14" s="174"/>
      <c r="DK14" s="174"/>
      <c r="DL14" s="174"/>
      <c r="DM14" s="174"/>
      <c r="DN14" s="174"/>
      <c r="DO14" s="174"/>
      <c r="DP14" s="174"/>
      <c r="DQ14" s="174"/>
      <c r="DR14" s="174"/>
      <c r="DS14" s="174"/>
      <c r="DT14" s="174"/>
      <c r="DU14" s="174"/>
      <c r="DV14" s="174"/>
      <c r="DW14" s="174"/>
      <c r="DX14" s="174"/>
      <c r="DY14" s="174"/>
    </row>
    <row r="15" spans="1:129" ht="12" customHeight="1" outlineLevel="2">
      <c r="A15" s="162">
        <v>0</v>
      </c>
      <c r="B15" s="162"/>
      <c r="C15" s="162">
        <v>3</v>
      </c>
      <c r="D15" s="163" t="s">
        <v>1137</v>
      </c>
      <c r="E15" s="164"/>
      <c r="F15" s="164"/>
      <c r="G15" s="164" t="s">
        <v>1563</v>
      </c>
      <c r="H15" s="164"/>
      <c r="I15" s="164"/>
      <c r="J15" s="164"/>
      <c r="K15" s="164"/>
      <c r="L15" s="164"/>
      <c r="M15" s="164"/>
      <c r="N15" s="164"/>
      <c r="O15" s="164"/>
      <c r="P15" s="165">
        <v>44093</v>
      </c>
      <c r="Q15" s="165">
        <v>44094</v>
      </c>
      <c r="R15" s="166"/>
      <c r="S15" s="167">
        <v>0</v>
      </c>
      <c r="T15" s="167">
        <v>0</v>
      </c>
      <c r="U15" s="167">
        <v>0</v>
      </c>
      <c r="V15" s="167">
        <v>0</v>
      </c>
      <c r="W15" s="165"/>
      <c r="X15" s="165"/>
      <c r="Y15" s="168"/>
      <c r="Z15" s="169">
        <v>0</v>
      </c>
      <c r="AA15" s="167"/>
      <c r="AB15" s="166" t="s">
        <v>1593</v>
      </c>
      <c r="AC15" s="170"/>
      <c r="AD15" s="171">
        <v>0</v>
      </c>
      <c r="AE15" s="172">
        <v>1</v>
      </c>
      <c r="AF15" s="173"/>
      <c r="AG15" s="174"/>
      <c r="AH15" s="174"/>
      <c r="AI15" s="174"/>
      <c r="AJ15" s="174"/>
      <c r="AK15" s="174"/>
      <c r="AL15" s="174"/>
      <c r="AM15" s="174"/>
      <c r="AN15" s="174"/>
      <c r="AO15" s="174"/>
      <c r="AP15" s="174"/>
      <c r="AQ15" s="174"/>
      <c r="AR15" s="174"/>
      <c r="AS15" s="174"/>
      <c r="AT15" s="174"/>
      <c r="AU15" s="174"/>
      <c r="AV15" s="174"/>
      <c r="AW15" s="174"/>
      <c r="AX15" s="174"/>
      <c r="AY15" s="174"/>
      <c r="AZ15" s="174"/>
      <c r="BA15" s="174"/>
      <c r="BB15" s="174" t="str">
        <f>"" &amp; TEXT(AE15,"#0.00%") &amp; " " &amp; "요구사항 수집" &amp; "(인터뷰어 : 조동현 인터뷰이 : 그외)" &amp; " " &amp; IF(P15="","",TEXT(P15,"M/D-")) &amp; IF(Q15="","",TEXT(Q15,"M/D")) &amp; " "</f>
        <v xml:space="preserve">100.00% 요구사항 수집(인터뷰어 : 조동현 인터뷰이 : 그외) 9/19-9/20 </v>
      </c>
      <c r="BC15" s="174"/>
      <c r="BD15" s="174"/>
      <c r="BE15" s="174"/>
      <c r="BF15" s="174"/>
      <c r="BG15" s="174"/>
      <c r="BH15" s="174"/>
      <c r="BI15" s="174"/>
      <c r="BJ15" s="174"/>
      <c r="BK15" s="174"/>
      <c r="BL15" s="174"/>
      <c r="BM15" s="174"/>
      <c r="BN15" s="174"/>
      <c r="BO15" s="174"/>
      <c r="BP15" s="174"/>
      <c r="BQ15" s="174"/>
      <c r="BR15" s="174"/>
      <c r="BS15" s="174"/>
      <c r="BT15" s="174"/>
      <c r="BU15" s="174"/>
      <c r="BV15" s="174"/>
      <c r="BW15" s="174"/>
      <c r="BX15" s="174"/>
      <c r="BY15" s="174"/>
      <c r="BZ15" s="174"/>
      <c r="CA15" s="174"/>
      <c r="CB15" s="174"/>
      <c r="CC15" s="174"/>
      <c r="CD15" s="174"/>
      <c r="CE15" s="174"/>
      <c r="CF15" s="174"/>
      <c r="CG15" s="174"/>
      <c r="CH15" s="174"/>
      <c r="CI15" s="174"/>
      <c r="CJ15" s="174"/>
      <c r="CK15" s="174"/>
      <c r="CL15" s="174"/>
      <c r="CM15" s="174"/>
      <c r="CN15" s="174"/>
      <c r="CO15" s="174"/>
      <c r="CP15" s="174"/>
      <c r="CQ15" s="174"/>
      <c r="CR15" s="174"/>
      <c r="CS15" s="174"/>
      <c r="CT15" s="174"/>
      <c r="CU15" s="174"/>
      <c r="CV15" s="174"/>
      <c r="CW15" s="174"/>
      <c r="CX15" s="174"/>
      <c r="CY15" s="174"/>
      <c r="CZ15" s="174"/>
      <c r="DA15" s="174"/>
      <c r="DB15" s="174"/>
      <c r="DC15" s="174"/>
      <c r="DD15" s="174"/>
      <c r="DE15" s="174"/>
      <c r="DF15" s="174"/>
      <c r="DG15" s="174"/>
      <c r="DH15" s="174"/>
      <c r="DI15" s="174"/>
      <c r="DJ15" s="174"/>
      <c r="DK15" s="174"/>
      <c r="DL15" s="174"/>
      <c r="DM15" s="174"/>
      <c r="DN15" s="174"/>
      <c r="DO15" s="174"/>
      <c r="DP15" s="174"/>
      <c r="DQ15" s="174"/>
      <c r="DR15" s="174"/>
      <c r="DS15" s="174"/>
      <c r="DT15" s="174"/>
      <c r="DU15" s="174"/>
      <c r="DV15" s="174"/>
      <c r="DW15" s="174"/>
      <c r="DX15" s="174"/>
      <c r="DY15" s="174"/>
    </row>
    <row r="16" spans="1:129" ht="12" customHeight="1" outlineLevel="2">
      <c r="A16" s="162"/>
      <c r="B16" s="162"/>
      <c r="C16" s="162">
        <v>3</v>
      </c>
      <c r="D16" s="163" t="s">
        <v>1487</v>
      </c>
      <c r="E16" s="164"/>
      <c r="F16" s="164"/>
      <c r="G16" s="164" t="s">
        <v>1595</v>
      </c>
      <c r="H16" s="164"/>
      <c r="I16" s="164"/>
      <c r="J16" s="164"/>
      <c r="K16" s="164"/>
      <c r="L16" s="164"/>
      <c r="M16" s="164"/>
      <c r="N16" s="164"/>
      <c r="O16" s="164"/>
      <c r="P16" s="165">
        <v>44095</v>
      </c>
      <c r="Q16" s="165">
        <v>44097</v>
      </c>
      <c r="R16" s="166"/>
      <c r="S16" s="167">
        <v>3</v>
      </c>
      <c r="T16" s="167">
        <v>3</v>
      </c>
      <c r="U16" s="167">
        <v>3</v>
      </c>
      <c r="V16" s="167">
        <v>3</v>
      </c>
      <c r="W16" s="165"/>
      <c r="X16" s="165"/>
      <c r="Y16" s="168"/>
      <c r="Z16" s="169">
        <v>0</v>
      </c>
      <c r="AA16" s="167"/>
      <c r="AB16" s="166" t="s">
        <v>1590</v>
      </c>
      <c r="AC16" s="170"/>
      <c r="AD16" s="171">
        <v>1</v>
      </c>
      <c r="AE16" s="172">
        <v>1</v>
      </c>
      <c r="AF16" s="173"/>
      <c r="AG16" s="174"/>
      <c r="AH16" s="174"/>
      <c r="AI16" s="174"/>
      <c r="AJ16" s="174"/>
      <c r="AK16" s="174"/>
      <c r="AL16" s="174"/>
      <c r="AM16" s="174"/>
      <c r="AN16" s="174"/>
      <c r="AO16" s="174"/>
      <c r="AP16" s="174"/>
      <c r="AQ16" s="174"/>
      <c r="AR16" s="174"/>
      <c r="AS16" s="174"/>
      <c r="AT16" s="174"/>
      <c r="AU16" s="174"/>
      <c r="AV16" s="174"/>
      <c r="AW16" s="174"/>
      <c r="AX16" s="174"/>
      <c r="AY16" s="174"/>
      <c r="AZ16" s="174"/>
      <c r="BA16" s="174"/>
      <c r="BB16" s="174"/>
      <c r="BC16" s="174"/>
      <c r="BD16" s="174"/>
      <c r="BE16" s="174" t="str">
        <f>"" &amp; TEXT(AE16,"#0.00%") &amp; " " &amp; "기능적/비기능적 요구" &amp; "(팀원 모두)" &amp; " " &amp; IF(P16="","",TEXT(P16,"M/D-")) &amp; IF(Q16="","",TEXT(Q16,"M/D")) &amp; " "</f>
        <v xml:space="preserve">100.00% 기능적/비기능적 요구(팀원 모두) 9/21-9/23 </v>
      </c>
      <c r="BF16" s="174"/>
      <c r="BG16" s="174"/>
      <c r="BH16" s="174"/>
      <c r="BI16" s="174"/>
      <c r="BJ16" s="174"/>
      <c r="BK16" s="174"/>
      <c r="BL16" s="174"/>
      <c r="BM16" s="174"/>
      <c r="BN16" s="174"/>
      <c r="BO16" s="174"/>
      <c r="BP16" s="174"/>
      <c r="BQ16" s="174"/>
      <c r="BR16" s="174"/>
      <c r="BS16" s="174"/>
      <c r="BT16" s="174"/>
      <c r="BU16" s="174"/>
      <c r="BV16" s="174"/>
      <c r="BW16" s="174"/>
      <c r="BX16" s="174"/>
      <c r="BY16" s="174"/>
      <c r="BZ16" s="174"/>
      <c r="CA16" s="174"/>
      <c r="CB16" s="174"/>
      <c r="CC16" s="174"/>
      <c r="CD16" s="174"/>
      <c r="CE16" s="174"/>
      <c r="CF16" s="174"/>
      <c r="CG16" s="174"/>
      <c r="CH16" s="174"/>
      <c r="CI16" s="174"/>
      <c r="CJ16" s="174"/>
      <c r="CK16" s="174"/>
      <c r="CL16" s="174"/>
      <c r="CM16" s="174"/>
      <c r="CN16" s="174"/>
      <c r="CO16" s="174"/>
      <c r="CP16" s="174"/>
      <c r="CQ16" s="174"/>
      <c r="CR16" s="174"/>
      <c r="CS16" s="174"/>
      <c r="CT16" s="174"/>
      <c r="CU16" s="174"/>
      <c r="CV16" s="174"/>
      <c r="CW16" s="174"/>
      <c r="CX16" s="174"/>
      <c r="CY16" s="174"/>
      <c r="CZ16" s="174"/>
      <c r="DA16" s="174"/>
      <c r="DB16" s="174"/>
      <c r="DC16" s="174"/>
      <c r="DD16" s="174"/>
      <c r="DE16" s="174"/>
      <c r="DF16" s="174"/>
      <c r="DG16" s="174"/>
      <c r="DH16" s="174"/>
      <c r="DI16" s="174"/>
      <c r="DJ16" s="174"/>
      <c r="DK16" s="174"/>
      <c r="DL16" s="174"/>
      <c r="DM16" s="174"/>
      <c r="DN16" s="174"/>
      <c r="DO16" s="174"/>
      <c r="DP16" s="174"/>
      <c r="DQ16" s="174"/>
      <c r="DR16" s="174"/>
      <c r="DS16" s="174"/>
      <c r="DT16" s="174"/>
      <c r="DU16" s="174"/>
      <c r="DV16" s="174"/>
      <c r="DW16" s="174"/>
      <c r="DX16" s="174"/>
      <c r="DY16" s="174"/>
    </row>
    <row r="17" spans="1:129" ht="12" customHeight="1" outlineLevel="1">
      <c r="A17" s="162"/>
      <c r="B17" s="162" t="s">
        <v>1437</v>
      </c>
      <c r="C17" s="162">
        <v>2</v>
      </c>
      <c r="D17" s="163" t="s">
        <v>1138</v>
      </c>
      <c r="E17" s="164"/>
      <c r="F17" s="164" t="s">
        <v>1596</v>
      </c>
      <c r="G17" s="164"/>
      <c r="H17" s="164"/>
      <c r="I17" s="164"/>
      <c r="J17" s="164"/>
      <c r="K17" s="164"/>
      <c r="L17" s="164"/>
      <c r="M17" s="164"/>
      <c r="N17" s="164"/>
      <c r="O17" s="164"/>
      <c r="P17" s="165">
        <v>44097</v>
      </c>
      <c r="Q17" s="165">
        <v>44120</v>
      </c>
      <c r="R17" s="166"/>
      <c r="S17" s="167">
        <v>22</v>
      </c>
      <c r="T17" s="167">
        <v>22</v>
      </c>
      <c r="U17" s="167">
        <v>14</v>
      </c>
      <c r="V17" s="167">
        <v>14</v>
      </c>
      <c r="W17" s="165"/>
      <c r="X17" s="165"/>
      <c r="Y17" s="168">
        <v>0</v>
      </c>
      <c r="Z17" s="169">
        <v>0</v>
      </c>
      <c r="AA17" s="167"/>
      <c r="AB17" s="166"/>
      <c r="AC17" s="170"/>
      <c r="AD17" s="171">
        <v>1</v>
      </c>
      <c r="AE17" s="172">
        <v>1</v>
      </c>
      <c r="AF17" s="173"/>
      <c r="AG17" s="174"/>
      <c r="AH17" s="174"/>
      <c r="AI17" s="174"/>
      <c r="AJ17" s="174"/>
      <c r="AK17" s="174"/>
      <c r="AL17" s="174"/>
      <c r="AM17" s="174"/>
      <c r="AN17" s="174"/>
      <c r="AO17" s="174"/>
      <c r="AP17" s="174"/>
      <c r="AQ17" s="174"/>
      <c r="AR17" s="174"/>
      <c r="AS17" s="174"/>
      <c r="AT17" s="174"/>
      <c r="AU17" s="174"/>
      <c r="AV17" s="174"/>
      <c r="AW17" s="174"/>
      <c r="AX17" s="174"/>
      <c r="AY17" s="174"/>
      <c r="AZ17" s="174"/>
      <c r="BA17" s="174"/>
      <c r="BB17" s="174"/>
      <c r="BC17" s="174"/>
      <c r="BD17" s="174"/>
      <c r="BE17" s="174"/>
      <c r="BF17" s="174"/>
      <c r="BG17" s="174"/>
      <c r="BH17" s="174"/>
      <c r="BI17" s="174"/>
      <c r="BJ17" s="174"/>
      <c r="BK17" s="174"/>
      <c r="BL17" s="174"/>
      <c r="BM17" s="174"/>
      <c r="BN17" s="174"/>
      <c r="BO17" s="174"/>
      <c r="BP17" s="174"/>
      <c r="BQ17" s="174"/>
      <c r="BR17" s="174"/>
      <c r="BS17" s="174"/>
      <c r="BT17" s="174"/>
      <c r="BU17" s="174"/>
      <c r="BV17" s="174"/>
      <c r="BW17" s="174"/>
      <c r="BX17" s="174"/>
      <c r="BY17" s="174"/>
      <c r="BZ17" s="174"/>
      <c r="CA17" s="174"/>
      <c r="CB17" s="174" t="str">
        <f>"" &amp; TEXT(AE17,"#0.00%") &amp; " " &amp; "요구사항 분석" &amp; " " &amp; IF(P17="","",TEXT(P17,"M/D-")) &amp; IF(Q17="","",TEXT(Q17,"M/D")) &amp; " "</f>
        <v xml:space="preserve">100.00% 요구사항 분석 9/23-10/16 </v>
      </c>
      <c r="CC17" s="174"/>
      <c r="CD17" s="174"/>
      <c r="CE17" s="174"/>
      <c r="CF17" s="174"/>
      <c r="CG17" s="174"/>
      <c r="CH17" s="174"/>
      <c r="CI17" s="174"/>
      <c r="CJ17" s="174"/>
      <c r="CK17" s="174"/>
      <c r="CL17" s="174"/>
      <c r="CM17" s="174"/>
      <c r="CN17" s="174"/>
      <c r="CO17" s="174"/>
      <c r="CP17" s="174"/>
      <c r="CQ17" s="174"/>
      <c r="CR17" s="174"/>
      <c r="CS17" s="174"/>
      <c r="CT17" s="174"/>
      <c r="CU17" s="174"/>
      <c r="CV17" s="174"/>
      <c r="CW17" s="174"/>
      <c r="CX17" s="174"/>
      <c r="CY17" s="174"/>
      <c r="CZ17" s="174"/>
      <c r="DA17" s="174"/>
      <c r="DB17" s="174"/>
      <c r="DC17" s="174"/>
      <c r="DD17" s="174"/>
      <c r="DE17" s="174"/>
      <c r="DF17" s="174"/>
      <c r="DG17" s="174"/>
      <c r="DH17" s="174"/>
      <c r="DI17" s="174"/>
      <c r="DJ17" s="174"/>
      <c r="DK17" s="174"/>
      <c r="DL17" s="174"/>
      <c r="DM17" s="174"/>
      <c r="DN17" s="174"/>
      <c r="DO17" s="174"/>
      <c r="DP17" s="174"/>
      <c r="DQ17" s="174"/>
      <c r="DR17" s="174"/>
      <c r="DS17" s="174"/>
      <c r="DT17" s="174"/>
      <c r="DU17" s="174"/>
      <c r="DV17" s="174"/>
      <c r="DW17" s="174"/>
      <c r="DX17" s="174"/>
      <c r="DY17" s="174"/>
    </row>
    <row r="18" spans="1:129" ht="12" customHeight="1" outlineLevel="2">
      <c r="A18" s="162"/>
      <c r="B18" s="162" t="s">
        <v>1437</v>
      </c>
      <c r="C18" s="162">
        <v>3</v>
      </c>
      <c r="D18" s="163" t="s">
        <v>1139</v>
      </c>
      <c r="E18" s="164"/>
      <c r="F18" s="164"/>
      <c r="G18" s="164" t="s">
        <v>1597</v>
      </c>
      <c r="H18" s="164"/>
      <c r="I18" s="164"/>
      <c r="J18" s="164"/>
      <c r="K18" s="164"/>
      <c r="L18" s="164"/>
      <c r="M18" s="164"/>
      <c r="N18" s="164"/>
      <c r="O18" s="164"/>
      <c r="P18" s="165">
        <v>44097</v>
      </c>
      <c r="Q18" s="165">
        <v>44115</v>
      </c>
      <c r="R18" s="166"/>
      <c r="S18" s="167">
        <v>12</v>
      </c>
      <c r="T18" s="167">
        <v>12</v>
      </c>
      <c r="U18" s="167">
        <v>9</v>
      </c>
      <c r="V18" s="167">
        <v>9</v>
      </c>
      <c r="W18" s="165"/>
      <c r="X18" s="165"/>
      <c r="Y18" s="168">
        <v>0</v>
      </c>
      <c r="Z18" s="169">
        <v>0</v>
      </c>
      <c r="AA18" s="167"/>
      <c r="AB18" s="166"/>
      <c r="AC18" s="170"/>
      <c r="AD18" s="171">
        <v>1</v>
      </c>
      <c r="AE18" s="172">
        <v>1</v>
      </c>
      <c r="AF18" s="173"/>
      <c r="AG18" s="174"/>
      <c r="AH18" s="174"/>
      <c r="AI18" s="174"/>
      <c r="AJ18" s="174"/>
      <c r="AK18" s="174"/>
      <c r="AL18" s="174"/>
      <c r="AM18" s="174"/>
      <c r="AN18" s="174"/>
      <c r="AO18" s="174"/>
      <c r="AP18" s="174"/>
      <c r="AQ18" s="174"/>
      <c r="AR18" s="174"/>
      <c r="AS18" s="174"/>
      <c r="AT18" s="174"/>
      <c r="AU18" s="174"/>
      <c r="AV18" s="174"/>
      <c r="AW18" s="174"/>
      <c r="AX18" s="174"/>
      <c r="AY18" s="174"/>
      <c r="AZ18" s="174"/>
      <c r="BA18" s="174"/>
      <c r="BB18" s="174"/>
      <c r="BC18" s="174"/>
      <c r="BD18" s="174"/>
      <c r="BE18" s="174"/>
      <c r="BF18" s="174"/>
      <c r="BG18" s="174"/>
      <c r="BH18" s="174"/>
      <c r="BI18" s="174"/>
      <c r="BJ18" s="174"/>
      <c r="BK18" s="174"/>
      <c r="BL18" s="174"/>
      <c r="BM18" s="174"/>
      <c r="BN18" s="174"/>
      <c r="BO18" s="174"/>
      <c r="BP18" s="174"/>
      <c r="BQ18" s="174"/>
      <c r="BR18" s="174"/>
      <c r="BS18" s="174"/>
      <c r="BT18" s="174"/>
      <c r="BU18" s="174"/>
      <c r="BV18" s="174"/>
      <c r="BW18" s="174" t="str">
        <f>"" &amp; TEXT(AE18,"#0.00%") &amp; " " &amp; "Functional" &amp; " " &amp; IF(P18="","",TEXT(P18,"M/D-")) &amp; IF(Q18="","",TEXT(Q18,"M/D")) &amp; " "</f>
        <v xml:space="preserve">100.00% Functional 9/23-10/11 </v>
      </c>
      <c r="BX18" s="174"/>
      <c r="BY18" s="174"/>
      <c r="BZ18" s="174"/>
      <c r="CA18" s="174"/>
      <c r="CB18" s="174"/>
      <c r="CC18" s="174"/>
      <c r="CD18" s="174"/>
      <c r="CE18" s="174"/>
      <c r="CF18" s="174"/>
      <c r="CG18" s="174"/>
      <c r="CH18" s="174"/>
      <c r="CI18" s="174"/>
      <c r="CJ18" s="174"/>
      <c r="CK18" s="174"/>
      <c r="CL18" s="174"/>
      <c r="CM18" s="174"/>
      <c r="CN18" s="174"/>
      <c r="CO18" s="174"/>
      <c r="CP18" s="174"/>
      <c r="CQ18" s="174"/>
      <c r="CR18" s="174"/>
      <c r="CS18" s="174"/>
      <c r="CT18" s="174"/>
      <c r="CU18" s="174"/>
      <c r="CV18" s="174"/>
      <c r="CW18" s="174"/>
      <c r="CX18" s="174"/>
      <c r="CY18" s="174"/>
      <c r="CZ18" s="174"/>
      <c r="DA18" s="174"/>
      <c r="DB18" s="174"/>
      <c r="DC18" s="174"/>
      <c r="DD18" s="174"/>
      <c r="DE18" s="174"/>
      <c r="DF18" s="174"/>
      <c r="DG18" s="174"/>
      <c r="DH18" s="174"/>
      <c r="DI18" s="174"/>
      <c r="DJ18" s="174"/>
      <c r="DK18" s="174"/>
      <c r="DL18" s="174"/>
      <c r="DM18" s="174"/>
      <c r="DN18" s="174"/>
      <c r="DO18" s="174"/>
      <c r="DP18" s="174"/>
      <c r="DQ18" s="174"/>
      <c r="DR18" s="174"/>
      <c r="DS18" s="174"/>
      <c r="DT18" s="174"/>
      <c r="DU18" s="174"/>
      <c r="DV18" s="174"/>
      <c r="DW18" s="174"/>
      <c r="DX18" s="174"/>
      <c r="DY18" s="174"/>
    </row>
    <row r="19" spans="1:129" ht="12" customHeight="1" outlineLevel="3">
      <c r="A19" s="162"/>
      <c r="B19" s="162"/>
      <c r="C19" s="162">
        <v>4</v>
      </c>
      <c r="D19" s="163" t="s">
        <v>1601</v>
      </c>
      <c r="E19" s="164"/>
      <c r="F19" s="164"/>
      <c r="G19" s="164"/>
      <c r="H19" s="164" t="s">
        <v>1599</v>
      </c>
      <c r="I19" s="164"/>
      <c r="J19" s="164"/>
      <c r="K19" s="164"/>
      <c r="L19" s="164"/>
      <c r="M19" s="164"/>
      <c r="N19" s="164"/>
      <c r="O19" s="164"/>
      <c r="P19" s="165">
        <v>44097</v>
      </c>
      <c r="Q19" s="165">
        <v>44098</v>
      </c>
      <c r="R19" s="166"/>
      <c r="S19" s="167">
        <v>2</v>
      </c>
      <c r="T19" s="167">
        <v>2</v>
      </c>
      <c r="U19" s="167">
        <v>2</v>
      </c>
      <c r="V19" s="167">
        <v>2</v>
      </c>
      <c r="W19" s="165"/>
      <c r="X19" s="165"/>
      <c r="Y19" s="168"/>
      <c r="Z19" s="169">
        <v>0</v>
      </c>
      <c r="AA19" s="167"/>
      <c r="AB19" s="166" t="s">
        <v>1590</v>
      </c>
      <c r="AC19" s="170"/>
      <c r="AD19" s="171">
        <v>1</v>
      </c>
      <c r="AE19" s="172">
        <v>1</v>
      </c>
      <c r="AF19" s="173"/>
      <c r="AG19" s="174"/>
      <c r="AH19" s="174"/>
      <c r="AI19" s="174"/>
      <c r="AJ19" s="174"/>
      <c r="AK19" s="174"/>
      <c r="AL19" s="174"/>
      <c r="AM19" s="174"/>
      <c r="AN19" s="174"/>
      <c r="AO19" s="174"/>
      <c r="AP19" s="174"/>
      <c r="AQ19" s="174"/>
      <c r="AR19" s="174"/>
      <c r="AS19" s="174"/>
      <c r="AT19" s="174"/>
      <c r="AU19" s="174"/>
      <c r="AV19" s="174"/>
      <c r="AW19" s="174"/>
      <c r="AX19" s="174"/>
      <c r="AY19" s="174"/>
      <c r="AZ19" s="174"/>
      <c r="BA19" s="174"/>
      <c r="BB19" s="174"/>
      <c r="BC19" s="174"/>
      <c r="BD19" s="174"/>
      <c r="BE19" s="174"/>
      <c r="BF19" s="174" t="str">
        <f>"" &amp; TEXT(AE19,"#0.00%") &amp; " " &amp; "use-case diagram" &amp; "(팀원 모두)" &amp; " " &amp; IF(P19="","",TEXT(P19,"M/D-")) &amp; IF(Q19="","",TEXT(Q19,"M/D")) &amp; " "</f>
        <v xml:space="preserve">100.00% use-case diagram(팀원 모두) 9/23-9/24 </v>
      </c>
      <c r="BG19" s="174"/>
      <c r="BH19" s="174"/>
      <c r="BI19" s="174"/>
      <c r="BJ19" s="174"/>
      <c r="BK19" s="174"/>
      <c r="BL19" s="174"/>
      <c r="BM19" s="174"/>
      <c r="BN19" s="174"/>
      <c r="BO19" s="174"/>
      <c r="BP19" s="174"/>
      <c r="BQ19" s="174"/>
      <c r="BR19" s="174"/>
      <c r="BS19" s="174"/>
      <c r="BT19" s="174"/>
      <c r="BU19" s="174"/>
      <c r="BV19" s="174"/>
      <c r="BW19" s="174"/>
      <c r="BX19" s="174"/>
      <c r="BY19" s="174"/>
      <c r="BZ19" s="174"/>
      <c r="CA19" s="174"/>
      <c r="CB19" s="174"/>
      <c r="CC19" s="174"/>
      <c r="CD19" s="174"/>
      <c r="CE19" s="174"/>
      <c r="CF19" s="174"/>
      <c r="CG19" s="174"/>
      <c r="CH19" s="174"/>
      <c r="CI19" s="174"/>
      <c r="CJ19" s="174"/>
      <c r="CK19" s="174"/>
      <c r="CL19" s="174"/>
      <c r="CM19" s="174"/>
      <c r="CN19" s="174"/>
      <c r="CO19" s="174"/>
      <c r="CP19" s="174"/>
      <c r="CQ19" s="174"/>
      <c r="CR19" s="174"/>
      <c r="CS19" s="174"/>
      <c r="CT19" s="174"/>
      <c r="CU19" s="174"/>
      <c r="CV19" s="174"/>
      <c r="CW19" s="174"/>
      <c r="CX19" s="174"/>
      <c r="CY19" s="174"/>
      <c r="CZ19" s="174"/>
      <c r="DA19" s="174"/>
      <c r="DB19" s="174"/>
      <c r="DC19" s="174"/>
      <c r="DD19" s="174"/>
      <c r="DE19" s="174"/>
      <c r="DF19" s="174"/>
      <c r="DG19" s="174"/>
      <c r="DH19" s="174"/>
      <c r="DI19" s="174"/>
      <c r="DJ19" s="174"/>
      <c r="DK19" s="174"/>
      <c r="DL19" s="174"/>
      <c r="DM19" s="174"/>
      <c r="DN19" s="174"/>
      <c r="DO19" s="174"/>
      <c r="DP19" s="174"/>
      <c r="DQ19" s="174"/>
      <c r="DR19" s="174"/>
      <c r="DS19" s="174"/>
      <c r="DT19" s="174"/>
      <c r="DU19" s="174"/>
      <c r="DV19" s="174"/>
      <c r="DW19" s="174"/>
      <c r="DX19" s="174"/>
      <c r="DY19" s="174"/>
    </row>
    <row r="20" spans="1:129" ht="12" customHeight="1" outlineLevel="3">
      <c r="A20" s="162"/>
      <c r="B20" s="162"/>
      <c r="C20" s="162">
        <v>4</v>
      </c>
      <c r="D20" s="163" t="s">
        <v>1602</v>
      </c>
      <c r="E20" s="164"/>
      <c r="F20" s="164"/>
      <c r="G20" s="164"/>
      <c r="H20" s="164" t="s">
        <v>1598</v>
      </c>
      <c r="I20" s="164"/>
      <c r="J20" s="164"/>
      <c r="K20" s="164"/>
      <c r="L20" s="164"/>
      <c r="M20" s="164"/>
      <c r="N20" s="164"/>
      <c r="O20" s="164"/>
      <c r="P20" s="165">
        <v>44097</v>
      </c>
      <c r="Q20" s="165">
        <v>44098</v>
      </c>
      <c r="R20" s="166"/>
      <c r="S20" s="167">
        <v>2</v>
      </c>
      <c r="T20" s="167">
        <v>2</v>
      </c>
      <c r="U20" s="167">
        <v>2</v>
      </c>
      <c r="V20" s="167">
        <v>2</v>
      </c>
      <c r="W20" s="165"/>
      <c r="X20" s="165"/>
      <c r="Y20" s="168"/>
      <c r="Z20" s="169">
        <v>0</v>
      </c>
      <c r="AA20" s="167"/>
      <c r="AB20" s="166" t="s">
        <v>1590</v>
      </c>
      <c r="AC20" s="170"/>
      <c r="AD20" s="171">
        <v>1</v>
      </c>
      <c r="AE20" s="172">
        <v>1</v>
      </c>
      <c r="AF20" s="173"/>
      <c r="AG20" s="174"/>
      <c r="AH20" s="174"/>
      <c r="AI20" s="174"/>
      <c r="AJ20" s="174"/>
      <c r="AK20" s="174"/>
      <c r="AL20" s="174"/>
      <c r="AM20" s="174"/>
      <c r="AN20" s="174"/>
      <c r="AO20" s="174"/>
      <c r="AP20" s="174"/>
      <c r="AQ20" s="174"/>
      <c r="AR20" s="174"/>
      <c r="AS20" s="174"/>
      <c r="AT20" s="174"/>
      <c r="AU20" s="174"/>
      <c r="AV20" s="174"/>
      <c r="AW20" s="174"/>
      <c r="AX20" s="174"/>
      <c r="AY20" s="174"/>
      <c r="AZ20" s="174"/>
      <c r="BA20" s="174"/>
      <c r="BB20" s="174"/>
      <c r="BC20" s="174"/>
      <c r="BD20" s="174"/>
      <c r="BE20" s="174"/>
      <c r="BF20" s="174" t="str">
        <f>"" &amp; TEXT(AE20,"#0.00%") &amp; " " &amp; "activity diagram" &amp; "(팀원 모두)" &amp; " " &amp; IF(P20="","",TEXT(P20,"M/D-")) &amp; IF(Q20="","",TEXT(Q20,"M/D")) &amp; " "</f>
        <v xml:space="preserve">100.00% activity diagram(팀원 모두) 9/23-9/24 </v>
      </c>
      <c r="BG20" s="174"/>
      <c r="BH20" s="174"/>
      <c r="BI20" s="174"/>
      <c r="BJ20" s="174"/>
      <c r="BK20" s="174"/>
      <c r="BL20" s="174"/>
      <c r="BM20" s="174"/>
      <c r="BN20" s="174"/>
      <c r="BO20" s="174"/>
      <c r="BP20" s="174"/>
      <c r="BQ20" s="174"/>
      <c r="BR20" s="174"/>
      <c r="BS20" s="174"/>
      <c r="BT20" s="174"/>
      <c r="BU20" s="174"/>
      <c r="BV20" s="174"/>
      <c r="BW20" s="174"/>
      <c r="BX20" s="174"/>
      <c r="BY20" s="174"/>
      <c r="BZ20" s="174"/>
      <c r="CA20" s="174"/>
      <c r="CB20" s="174"/>
      <c r="CC20" s="174"/>
      <c r="CD20" s="174"/>
      <c r="CE20" s="174"/>
      <c r="CF20" s="174"/>
      <c r="CG20" s="174"/>
      <c r="CH20" s="174"/>
      <c r="CI20" s="174"/>
      <c r="CJ20" s="174"/>
      <c r="CK20" s="174"/>
      <c r="CL20" s="174"/>
      <c r="CM20" s="174"/>
      <c r="CN20" s="174"/>
      <c r="CO20" s="174"/>
      <c r="CP20" s="174"/>
      <c r="CQ20" s="174"/>
      <c r="CR20" s="174"/>
      <c r="CS20" s="174"/>
      <c r="CT20" s="174"/>
      <c r="CU20" s="174"/>
      <c r="CV20" s="174"/>
      <c r="CW20" s="174"/>
      <c r="CX20" s="174"/>
      <c r="CY20" s="174"/>
      <c r="CZ20" s="174"/>
      <c r="DA20" s="174"/>
      <c r="DB20" s="174"/>
      <c r="DC20" s="174"/>
      <c r="DD20" s="174"/>
      <c r="DE20" s="174"/>
      <c r="DF20" s="174"/>
      <c r="DG20" s="174"/>
      <c r="DH20" s="174"/>
      <c r="DI20" s="174"/>
      <c r="DJ20" s="174"/>
      <c r="DK20" s="174"/>
      <c r="DL20" s="174"/>
      <c r="DM20" s="174"/>
      <c r="DN20" s="174"/>
      <c r="DO20" s="174"/>
      <c r="DP20" s="174"/>
      <c r="DQ20" s="174"/>
      <c r="DR20" s="174"/>
      <c r="DS20" s="174"/>
      <c r="DT20" s="174"/>
      <c r="DU20" s="174"/>
      <c r="DV20" s="174"/>
      <c r="DW20" s="174"/>
      <c r="DX20" s="174"/>
      <c r="DY20" s="174"/>
    </row>
    <row r="21" spans="1:129" ht="12" customHeight="1" outlineLevel="3">
      <c r="A21" s="162">
        <v>0</v>
      </c>
      <c r="B21" s="162"/>
      <c r="C21" s="162">
        <v>4</v>
      </c>
      <c r="D21" s="163" t="s">
        <v>1603</v>
      </c>
      <c r="E21" s="164"/>
      <c r="F21" s="164"/>
      <c r="G21" s="164"/>
      <c r="H21" s="164" t="s">
        <v>1600</v>
      </c>
      <c r="I21" s="164"/>
      <c r="J21" s="164"/>
      <c r="K21" s="164"/>
      <c r="L21" s="164"/>
      <c r="M21" s="164"/>
      <c r="N21" s="164"/>
      <c r="O21" s="164"/>
      <c r="P21" s="165">
        <v>44098</v>
      </c>
      <c r="Q21" s="165">
        <v>44115</v>
      </c>
      <c r="R21" s="166"/>
      <c r="S21" s="167">
        <v>8</v>
      </c>
      <c r="T21" s="167">
        <v>8</v>
      </c>
      <c r="U21" s="167">
        <v>8</v>
      </c>
      <c r="V21" s="167">
        <v>8</v>
      </c>
      <c r="W21" s="165"/>
      <c r="X21" s="165"/>
      <c r="Y21" s="168"/>
      <c r="Z21" s="169">
        <v>0</v>
      </c>
      <c r="AA21" s="167"/>
      <c r="AB21" s="166" t="s">
        <v>1590</v>
      </c>
      <c r="AC21" s="170"/>
      <c r="AD21" s="171">
        <v>1</v>
      </c>
      <c r="AE21" s="172">
        <v>1</v>
      </c>
      <c r="AF21" s="173"/>
      <c r="AG21" s="174"/>
      <c r="AH21" s="174"/>
      <c r="AI21" s="174"/>
      <c r="AJ21" s="174"/>
      <c r="AK21" s="174"/>
      <c r="AL21" s="174"/>
      <c r="AM21" s="174"/>
      <c r="AN21" s="174"/>
      <c r="AO21" s="174"/>
      <c r="AP21" s="174"/>
      <c r="AQ21" s="174"/>
      <c r="AR21" s="174"/>
      <c r="AS21" s="174"/>
      <c r="AT21" s="174"/>
      <c r="AU21" s="174"/>
      <c r="AV21" s="174"/>
      <c r="AW21" s="174"/>
      <c r="AX21" s="174"/>
      <c r="AY21" s="174"/>
      <c r="AZ21" s="174"/>
      <c r="BA21" s="174"/>
      <c r="BB21" s="174"/>
      <c r="BC21" s="174"/>
      <c r="BD21" s="174"/>
      <c r="BE21" s="174"/>
      <c r="BF21" s="174"/>
      <c r="BG21" s="174"/>
      <c r="BH21" s="174"/>
      <c r="BI21" s="174"/>
      <c r="BJ21" s="174"/>
      <c r="BK21" s="174"/>
      <c r="BL21" s="174"/>
      <c r="BM21" s="174"/>
      <c r="BN21" s="174"/>
      <c r="BO21" s="174"/>
      <c r="BP21" s="174"/>
      <c r="BQ21" s="174"/>
      <c r="BR21" s="174"/>
      <c r="BS21" s="174"/>
      <c r="BT21" s="174"/>
      <c r="BU21" s="174"/>
      <c r="BV21" s="174"/>
      <c r="BW21" s="174" t="str">
        <f>"" &amp; TEXT(AE21,"#0.00%") &amp; " " &amp; "use-case description" &amp; "(팀원 모두)" &amp; " " &amp; IF(P21="","",TEXT(P21,"M/D-")) &amp; IF(Q21="","",TEXT(Q21,"M/D")) &amp; " "</f>
        <v xml:space="preserve">100.00% use-case description(팀원 모두) 9/24-10/11 </v>
      </c>
      <c r="BX21" s="174"/>
      <c r="BY21" s="174"/>
      <c r="BZ21" s="174"/>
      <c r="CA21" s="174"/>
      <c r="CB21" s="174"/>
      <c r="CC21" s="174"/>
      <c r="CD21" s="174"/>
      <c r="CE21" s="174"/>
      <c r="CF21" s="174"/>
      <c r="CG21" s="174"/>
      <c r="CH21" s="174"/>
      <c r="CI21" s="174"/>
      <c r="CJ21" s="174"/>
      <c r="CK21" s="174"/>
      <c r="CL21" s="174"/>
      <c r="CM21" s="174"/>
      <c r="CN21" s="174"/>
      <c r="CO21" s="174"/>
      <c r="CP21" s="174"/>
      <c r="CQ21" s="174"/>
      <c r="CR21" s="174"/>
      <c r="CS21" s="174"/>
      <c r="CT21" s="174"/>
      <c r="CU21" s="174"/>
      <c r="CV21" s="174"/>
      <c r="CW21" s="174"/>
      <c r="CX21" s="174"/>
      <c r="CY21" s="174"/>
      <c r="CZ21" s="174"/>
      <c r="DA21" s="174"/>
      <c r="DB21" s="174"/>
      <c r="DC21" s="174"/>
      <c r="DD21" s="174"/>
      <c r="DE21" s="174"/>
      <c r="DF21" s="174"/>
      <c r="DG21" s="174"/>
      <c r="DH21" s="174"/>
      <c r="DI21" s="174"/>
      <c r="DJ21" s="174"/>
      <c r="DK21" s="174"/>
      <c r="DL21" s="174"/>
      <c r="DM21" s="174"/>
      <c r="DN21" s="174"/>
      <c r="DO21" s="174"/>
      <c r="DP21" s="174"/>
      <c r="DQ21" s="174"/>
      <c r="DR21" s="174"/>
      <c r="DS21" s="174"/>
      <c r="DT21" s="174"/>
      <c r="DU21" s="174"/>
      <c r="DV21" s="174"/>
      <c r="DW21" s="174"/>
      <c r="DX21" s="174"/>
      <c r="DY21" s="174"/>
    </row>
    <row r="22" spans="1:129" ht="12" customHeight="1" outlineLevel="2">
      <c r="A22" s="162"/>
      <c r="B22" s="162" t="s">
        <v>1437</v>
      </c>
      <c r="C22" s="162">
        <v>3</v>
      </c>
      <c r="D22" s="163" t="s">
        <v>1140</v>
      </c>
      <c r="E22" s="164"/>
      <c r="F22" s="164"/>
      <c r="G22" s="164" t="s">
        <v>1604</v>
      </c>
      <c r="H22" s="164"/>
      <c r="I22" s="164"/>
      <c r="J22" s="164"/>
      <c r="K22" s="164"/>
      <c r="L22" s="164"/>
      <c r="M22" s="164"/>
      <c r="N22" s="164"/>
      <c r="O22" s="164"/>
      <c r="P22" s="165">
        <v>44111</v>
      </c>
      <c r="Q22" s="165">
        <v>44112</v>
      </c>
      <c r="R22" s="166"/>
      <c r="S22" s="167">
        <v>2</v>
      </c>
      <c r="T22" s="167">
        <v>2</v>
      </c>
      <c r="U22" s="167">
        <v>2</v>
      </c>
      <c r="V22" s="167">
        <v>2</v>
      </c>
      <c r="W22" s="165"/>
      <c r="X22" s="165"/>
      <c r="Y22" s="168">
        <v>0</v>
      </c>
      <c r="Z22" s="169">
        <v>0</v>
      </c>
      <c r="AA22" s="167"/>
      <c r="AB22" s="166"/>
      <c r="AC22" s="170"/>
      <c r="AD22" s="171">
        <v>1</v>
      </c>
      <c r="AE22" s="172">
        <v>1</v>
      </c>
      <c r="AF22" s="173"/>
      <c r="AG22" s="174"/>
      <c r="AH22" s="174"/>
      <c r="AI22" s="174"/>
      <c r="AJ22" s="174"/>
      <c r="AK22" s="174"/>
      <c r="AL22" s="174"/>
      <c r="AM22" s="174"/>
      <c r="AN22" s="174"/>
      <c r="AO22" s="174"/>
      <c r="AP22" s="174"/>
      <c r="AQ22" s="174"/>
      <c r="AR22" s="174"/>
      <c r="AS22" s="174"/>
      <c r="AT22" s="174"/>
      <c r="AU22" s="174"/>
      <c r="AV22" s="174"/>
      <c r="AW22" s="174"/>
      <c r="AX22" s="174"/>
      <c r="AY22" s="174"/>
      <c r="AZ22" s="174"/>
      <c r="BA22" s="174"/>
      <c r="BB22" s="174"/>
      <c r="BC22" s="174"/>
      <c r="BD22" s="174"/>
      <c r="BE22" s="174"/>
      <c r="BF22" s="174"/>
      <c r="BG22" s="174"/>
      <c r="BH22" s="174"/>
      <c r="BI22" s="174"/>
      <c r="BJ22" s="174"/>
      <c r="BK22" s="174"/>
      <c r="BL22" s="174"/>
      <c r="BM22" s="174"/>
      <c r="BN22" s="174"/>
      <c r="BO22" s="174"/>
      <c r="BP22" s="174"/>
      <c r="BQ22" s="174"/>
      <c r="BR22" s="174"/>
      <c r="BS22" s="174"/>
      <c r="BT22" s="174" t="str">
        <f>"" &amp; TEXT(AE22,"#0.00%") &amp; " " &amp; "Structural" &amp; " " &amp; IF(P22="","",TEXT(P22,"M/D-")) &amp; IF(Q22="","",TEXT(Q22,"M/D")) &amp; " "</f>
        <v xml:space="preserve">100.00% Structural 10/7-10/8 </v>
      </c>
      <c r="BU22" s="174"/>
      <c r="BV22" s="174"/>
      <c r="BW22" s="174"/>
      <c r="BX22" s="174"/>
      <c r="BY22" s="174"/>
      <c r="BZ22" s="174"/>
      <c r="CA22" s="174"/>
      <c r="CB22" s="174"/>
      <c r="CC22" s="174"/>
      <c r="CD22" s="174"/>
      <c r="CE22" s="174"/>
      <c r="CF22" s="174"/>
      <c r="CG22" s="174"/>
      <c r="CH22" s="174"/>
      <c r="CI22" s="174"/>
      <c r="CJ22" s="174"/>
      <c r="CK22" s="174"/>
      <c r="CL22" s="174"/>
      <c r="CM22" s="174"/>
      <c r="CN22" s="174"/>
      <c r="CO22" s="174"/>
      <c r="CP22" s="174"/>
      <c r="CQ22" s="174"/>
      <c r="CR22" s="174"/>
      <c r="CS22" s="174"/>
      <c r="CT22" s="174"/>
      <c r="CU22" s="174"/>
      <c r="CV22" s="174"/>
      <c r="CW22" s="174"/>
      <c r="CX22" s="174"/>
      <c r="CY22" s="174"/>
      <c r="CZ22" s="174"/>
      <c r="DA22" s="174"/>
      <c r="DB22" s="174"/>
      <c r="DC22" s="174"/>
      <c r="DD22" s="174"/>
      <c r="DE22" s="174"/>
      <c r="DF22" s="174"/>
      <c r="DG22" s="174"/>
      <c r="DH22" s="174"/>
      <c r="DI22" s="174"/>
      <c r="DJ22" s="174"/>
      <c r="DK22" s="174"/>
      <c r="DL22" s="174"/>
      <c r="DM22" s="174"/>
      <c r="DN22" s="174"/>
      <c r="DO22" s="174"/>
      <c r="DP22" s="174"/>
      <c r="DQ22" s="174"/>
      <c r="DR22" s="174"/>
      <c r="DS22" s="174"/>
      <c r="DT22" s="174"/>
      <c r="DU22" s="174"/>
      <c r="DV22" s="174"/>
      <c r="DW22" s="174"/>
      <c r="DX22" s="174"/>
      <c r="DY22" s="174"/>
    </row>
    <row r="23" spans="1:129" ht="12" customHeight="1" outlineLevel="3">
      <c r="A23" s="162"/>
      <c r="B23" s="162"/>
      <c r="C23" s="162">
        <v>4</v>
      </c>
      <c r="D23" s="163" t="s">
        <v>1609</v>
      </c>
      <c r="E23" s="164"/>
      <c r="F23" s="164"/>
      <c r="G23" s="164"/>
      <c r="H23" s="164" t="s">
        <v>1605</v>
      </c>
      <c r="I23" s="164"/>
      <c r="J23" s="164"/>
      <c r="K23" s="164"/>
      <c r="L23" s="164"/>
      <c r="M23" s="164"/>
      <c r="N23" s="164"/>
      <c r="O23" s="164"/>
      <c r="P23" s="165">
        <v>44111</v>
      </c>
      <c r="Q23" s="165">
        <v>44112</v>
      </c>
      <c r="R23" s="166"/>
      <c r="S23" s="167">
        <v>2</v>
      </c>
      <c r="T23" s="167">
        <v>2</v>
      </c>
      <c r="U23" s="167">
        <v>2</v>
      </c>
      <c r="V23" s="167">
        <v>2</v>
      </c>
      <c r="W23" s="165"/>
      <c r="X23" s="165"/>
      <c r="Y23" s="168"/>
      <c r="Z23" s="169">
        <v>0</v>
      </c>
      <c r="AA23" s="167"/>
      <c r="AB23" s="166"/>
      <c r="AC23" s="170"/>
      <c r="AD23" s="171">
        <v>1</v>
      </c>
      <c r="AE23" s="172">
        <v>1</v>
      </c>
      <c r="AF23" s="173"/>
      <c r="AG23" s="174"/>
      <c r="AH23" s="174"/>
      <c r="AI23" s="174"/>
      <c r="AJ23" s="174"/>
      <c r="AK23" s="174"/>
      <c r="AL23" s="174"/>
      <c r="AM23" s="174"/>
      <c r="AN23" s="174"/>
      <c r="AO23" s="174"/>
      <c r="AP23" s="174"/>
      <c r="AQ23" s="174"/>
      <c r="AR23" s="174"/>
      <c r="AS23" s="174"/>
      <c r="AT23" s="174"/>
      <c r="AU23" s="174"/>
      <c r="AV23" s="174"/>
      <c r="AW23" s="174"/>
      <c r="AX23" s="174"/>
      <c r="AY23" s="174"/>
      <c r="AZ23" s="174"/>
      <c r="BA23" s="174"/>
      <c r="BB23" s="174"/>
      <c r="BC23" s="174"/>
      <c r="BD23" s="174"/>
      <c r="BE23" s="174"/>
      <c r="BF23" s="174"/>
      <c r="BG23" s="174"/>
      <c r="BH23" s="174"/>
      <c r="BI23" s="174"/>
      <c r="BJ23" s="174"/>
      <c r="BK23" s="174"/>
      <c r="BL23" s="174"/>
      <c r="BM23" s="174"/>
      <c r="BN23" s="174"/>
      <c r="BO23" s="174"/>
      <c r="BP23" s="174"/>
      <c r="BQ23" s="174"/>
      <c r="BR23" s="174"/>
      <c r="BS23" s="174"/>
      <c r="BT23" s="174" t="str">
        <f>"" &amp; TEXT(AE23,"#0.00%") &amp; " " &amp; "class diagram" &amp; " " &amp; IF(P23="","",TEXT(P23,"M/D-")) &amp; IF(Q23="","",TEXT(Q23,"M/D")) &amp; " "</f>
        <v xml:space="preserve">100.00% class diagram 10/7-10/8 </v>
      </c>
      <c r="BU23" s="174"/>
      <c r="BV23" s="174"/>
      <c r="BW23" s="174"/>
      <c r="BX23" s="174"/>
      <c r="BY23" s="174"/>
      <c r="BZ23" s="174"/>
      <c r="CA23" s="174"/>
      <c r="CB23" s="174"/>
      <c r="CC23" s="174"/>
      <c r="CD23" s="174"/>
      <c r="CE23" s="174"/>
      <c r="CF23" s="174"/>
      <c r="CG23" s="174"/>
      <c r="CH23" s="174"/>
      <c r="CI23" s="174"/>
      <c r="CJ23" s="174"/>
      <c r="CK23" s="174"/>
      <c r="CL23" s="174"/>
      <c r="CM23" s="174"/>
      <c r="CN23" s="174"/>
      <c r="CO23" s="174"/>
      <c r="CP23" s="174"/>
      <c r="CQ23" s="174"/>
      <c r="CR23" s="174"/>
      <c r="CS23" s="174"/>
      <c r="CT23" s="174"/>
      <c r="CU23" s="174"/>
      <c r="CV23" s="174"/>
      <c r="CW23" s="174"/>
      <c r="CX23" s="174"/>
      <c r="CY23" s="174"/>
      <c r="CZ23" s="174"/>
      <c r="DA23" s="174"/>
      <c r="DB23" s="174"/>
      <c r="DC23" s="174"/>
      <c r="DD23" s="174"/>
      <c r="DE23" s="174"/>
      <c r="DF23" s="174"/>
      <c r="DG23" s="174"/>
      <c r="DH23" s="174"/>
      <c r="DI23" s="174"/>
      <c r="DJ23" s="174"/>
      <c r="DK23" s="174"/>
      <c r="DL23" s="174"/>
      <c r="DM23" s="174"/>
      <c r="DN23" s="174"/>
      <c r="DO23" s="174"/>
      <c r="DP23" s="174"/>
      <c r="DQ23" s="174"/>
      <c r="DR23" s="174"/>
      <c r="DS23" s="174"/>
      <c r="DT23" s="174"/>
      <c r="DU23" s="174"/>
      <c r="DV23" s="174"/>
      <c r="DW23" s="174"/>
      <c r="DX23" s="174"/>
      <c r="DY23" s="174"/>
    </row>
    <row r="24" spans="1:129" ht="12" customHeight="1" outlineLevel="2">
      <c r="A24" s="162"/>
      <c r="B24" s="162" t="s">
        <v>1437</v>
      </c>
      <c r="C24" s="162">
        <v>3</v>
      </c>
      <c r="D24" s="163" t="s">
        <v>1141</v>
      </c>
      <c r="E24" s="164"/>
      <c r="F24" s="164"/>
      <c r="G24" s="164" t="s">
        <v>1606</v>
      </c>
      <c r="H24" s="164"/>
      <c r="I24" s="164"/>
      <c r="J24" s="164"/>
      <c r="K24" s="164"/>
      <c r="L24" s="164"/>
      <c r="M24" s="164"/>
      <c r="N24" s="164"/>
      <c r="O24" s="164"/>
      <c r="P24" s="165">
        <v>44117</v>
      </c>
      <c r="Q24" s="165">
        <v>44120</v>
      </c>
      <c r="R24" s="166"/>
      <c r="S24" s="167">
        <v>8</v>
      </c>
      <c r="T24" s="167">
        <v>8</v>
      </c>
      <c r="U24" s="167">
        <v>4</v>
      </c>
      <c r="V24" s="167">
        <v>4</v>
      </c>
      <c r="W24" s="165"/>
      <c r="X24" s="165"/>
      <c r="Y24" s="168">
        <v>0</v>
      </c>
      <c r="Z24" s="169">
        <v>0</v>
      </c>
      <c r="AA24" s="167"/>
      <c r="AB24" s="166"/>
      <c r="AC24" s="170"/>
      <c r="AD24" s="171">
        <v>1</v>
      </c>
      <c r="AE24" s="172">
        <v>1</v>
      </c>
      <c r="AF24" s="173"/>
      <c r="AG24" s="174"/>
      <c r="AH24" s="174"/>
      <c r="AI24" s="174"/>
      <c r="AJ24" s="174"/>
      <c r="AK24" s="174"/>
      <c r="AL24" s="174"/>
      <c r="AM24" s="174"/>
      <c r="AN24" s="174"/>
      <c r="AO24" s="174"/>
      <c r="AP24" s="174"/>
      <c r="AQ24" s="174"/>
      <c r="AR24" s="174"/>
      <c r="AS24" s="174"/>
      <c r="AT24" s="174"/>
      <c r="AU24" s="174"/>
      <c r="AV24" s="174"/>
      <c r="AW24" s="174"/>
      <c r="AX24" s="174"/>
      <c r="AY24" s="174"/>
      <c r="AZ24" s="174"/>
      <c r="BA24" s="174"/>
      <c r="BB24" s="174"/>
      <c r="BC24" s="174"/>
      <c r="BD24" s="174"/>
      <c r="BE24" s="174"/>
      <c r="BF24" s="174"/>
      <c r="BG24" s="174"/>
      <c r="BH24" s="174"/>
      <c r="BI24" s="174"/>
      <c r="BJ24" s="174"/>
      <c r="BK24" s="174"/>
      <c r="BL24" s="174"/>
      <c r="BM24" s="174"/>
      <c r="BN24" s="174"/>
      <c r="BO24" s="174"/>
      <c r="BP24" s="174"/>
      <c r="BQ24" s="174"/>
      <c r="BR24" s="174"/>
      <c r="BS24" s="174"/>
      <c r="BT24" s="174"/>
      <c r="BU24" s="174"/>
      <c r="BV24" s="174"/>
      <c r="BW24" s="174"/>
      <c r="BX24" s="174"/>
      <c r="BY24" s="174"/>
      <c r="BZ24" s="174"/>
      <c r="CA24" s="174"/>
      <c r="CB24" s="174" t="str">
        <f>"" &amp; TEXT(AE24,"#0.00%") &amp; " " &amp; "Behavioral" &amp; " " &amp; IF(P24="","",TEXT(P24,"M/D-")) &amp; IF(Q24="","",TEXT(Q24,"M/D")) &amp; " "</f>
        <v xml:space="preserve">100.00% Behavioral 10/13-10/16 </v>
      </c>
      <c r="CC24" s="174"/>
      <c r="CD24" s="174"/>
      <c r="CE24" s="174"/>
      <c r="CF24" s="174"/>
      <c r="CG24" s="174"/>
      <c r="CH24" s="174"/>
      <c r="CI24" s="174"/>
      <c r="CJ24" s="174"/>
      <c r="CK24" s="174"/>
      <c r="CL24" s="174"/>
      <c r="CM24" s="174"/>
      <c r="CN24" s="174"/>
      <c r="CO24" s="174"/>
      <c r="CP24" s="174"/>
      <c r="CQ24" s="174"/>
      <c r="CR24" s="174"/>
      <c r="CS24" s="174"/>
      <c r="CT24" s="174"/>
      <c r="CU24" s="174"/>
      <c r="CV24" s="174"/>
      <c r="CW24" s="174"/>
      <c r="CX24" s="174"/>
      <c r="CY24" s="174"/>
      <c r="CZ24" s="174"/>
      <c r="DA24" s="174"/>
      <c r="DB24" s="174"/>
      <c r="DC24" s="174"/>
      <c r="DD24" s="174"/>
      <c r="DE24" s="174"/>
      <c r="DF24" s="174"/>
      <c r="DG24" s="174"/>
      <c r="DH24" s="174"/>
      <c r="DI24" s="174"/>
      <c r="DJ24" s="174"/>
      <c r="DK24" s="174"/>
      <c r="DL24" s="174"/>
      <c r="DM24" s="174"/>
      <c r="DN24" s="174"/>
      <c r="DO24" s="174"/>
      <c r="DP24" s="174"/>
      <c r="DQ24" s="174"/>
      <c r="DR24" s="174"/>
      <c r="DS24" s="174"/>
      <c r="DT24" s="174"/>
      <c r="DU24" s="174"/>
      <c r="DV24" s="174"/>
      <c r="DW24" s="174"/>
      <c r="DX24" s="174"/>
      <c r="DY24" s="174"/>
    </row>
    <row r="25" spans="1:129" ht="13.2" outlineLevel="3">
      <c r="A25" s="162"/>
      <c r="B25" s="162"/>
      <c r="C25" s="162">
        <v>4</v>
      </c>
      <c r="D25" s="163" t="s">
        <v>1610</v>
      </c>
      <c r="E25" s="164"/>
      <c r="F25" s="164"/>
      <c r="G25" s="164"/>
      <c r="H25" s="164" t="s">
        <v>1607</v>
      </c>
      <c r="I25" s="164"/>
      <c r="J25" s="164"/>
      <c r="K25" s="164"/>
      <c r="L25" s="164"/>
      <c r="M25" s="164"/>
      <c r="N25" s="164"/>
      <c r="O25" s="164"/>
      <c r="P25" s="165">
        <v>44117</v>
      </c>
      <c r="Q25" s="165">
        <v>44120</v>
      </c>
      <c r="R25" s="166"/>
      <c r="S25" s="167">
        <v>4</v>
      </c>
      <c r="T25" s="167">
        <v>4</v>
      </c>
      <c r="U25" s="167">
        <v>4</v>
      </c>
      <c r="V25" s="167">
        <v>4</v>
      </c>
      <c r="W25" s="165"/>
      <c r="X25" s="165"/>
      <c r="Y25" s="168"/>
      <c r="Z25" s="169">
        <v>0</v>
      </c>
      <c r="AA25" s="167"/>
      <c r="AB25" s="166" t="s">
        <v>1590</v>
      </c>
      <c r="AC25" s="170"/>
      <c r="AD25" s="171">
        <v>1</v>
      </c>
      <c r="AE25" s="172">
        <v>1</v>
      </c>
      <c r="AF25" s="173"/>
      <c r="AG25" s="174"/>
      <c r="AH25" s="174"/>
      <c r="AI25" s="174"/>
      <c r="AJ25" s="174"/>
      <c r="AK25" s="174"/>
      <c r="AL25" s="174"/>
      <c r="AM25" s="174"/>
      <c r="AN25" s="174"/>
      <c r="AO25" s="174"/>
      <c r="AP25" s="174"/>
      <c r="AQ25" s="174"/>
      <c r="AR25" s="174"/>
      <c r="AS25" s="174"/>
      <c r="AT25" s="174"/>
      <c r="AU25" s="174"/>
      <c r="AV25" s="174"/>
      <c r="AW25" s="174"/>
      <c r="AX25" s="174"/>
      <c r="AY25" s="174"/>
      <c r="AZ25" s="174"/>
      <c r="BA25" s="174"/>
      <c r="BB25" s="174"/>
      <c r="BC25" s="174"/>
      <c r="BD25" s="174"/>
      <c r="BE25" s="174"/>
      <c r="BF25" s="174"/>
      <c r="BG25" s="174"/>
      <c r="BH25" s="174"/>
      <c r="BI25" s="174"/>
      <c r="BJ25" s="174"/>
      <c r="BK25" s="174"/>
      <c r="BL25" s="174"/>
      <c r="BM25" s="174"/>
      <c r="BN25" s="174"/>
      <c r="BO25" s="174"/>
      <c r="BP25" s="174"/>
      <c r="BQ25" s="174"/>
      <c r="BR25" s="174"/>
      <c r="BS25" s="174"/>
      <c r="BT25" s="174"/>
      <c r="BU25" s="174"/>
      <c r="BV25" s="174"/>
      <c r="BW25" s="174"/>
      <c r="BX25" s="174"/>
      <c r="BY25" s="174"/>
      <c r="BZ25" s="174"/>
      <c r="CA25" s="174"/>
      <c r="CB25" s="174" t="str">
        <f>"" &amp; TEXT(AE25,"#0.00%") &amp; " " &amp; "squence diagram" &amp; "(팀원 모두)" &amp; " " &amp; IF(P25="","",TEXT(P25,"M/D-")) &amp; IF(Q25="","",TEXT(Q25,"M/D")) &amp; " "</f>
        <v xml:space="preserve">100.00% squence diagram(팀원 모두) 10/13-10/16 </v>
      </c>
      <c r="CC25" s="174"/>
      <c r="CD25" s="174"/>
      <c r="CE25" s="174"/>
      <c r="CF25" s="174"/>
      <c r="CG25" s="174"/>
      <c r="CH25" s="174"/>
      <c r="CI25" s="174"/>
      <c r="CJ25" s="174"/>
      <c r="CK25" s="174"/>
      <c r="CL25" s="174"/>
      <c r="CM25" s="174"/>
      <c r="CN25" s="174"/>
      <c r="CO25" s="174"/>
      <c r="CP25" s="174"/>
      <c r="CQ25" s="174"/>
      <c r="CR25" s="174"/>
      <c r="CS25" s="174"/>
      <c r="CT25" s="174"/>
      <c r="CU25" s="174"/>
      <c r="CV25" s="174"/>
      <c r="CW25" s="174"/>
      <c r="CX25" s="174"/>
      <c r="CY25" s="174"/>
      <c r="CZ25" s="174"/>
      <c r="DA25" s="174"/>
      <c r="DB25" s="174"/>
      <c r="DC25" s="174"/>
      <c r="DD25" s="174"/>
      <c r="DE25" s="174"/>
      <c r="DF25" s="174"/>
      <c r="DG25" s="174"/>
      <c r="DH25" s="174"/>
      <c r="DI25" s="174"/>
      <c r="DJ25" s="174"/>
      <c r="DK25" s="174"/>
      <c r="DL25" s="174"/>
      <c r="DM25" s="174"/>
      <c r="DN25" s="174"/>
      <c r="DO25" s="174"/>
      <c r="DP25" s="174"/>
      <c r="DQ25" s="174"/>
      <c r="DR25" s="174"/>
      <c r="DS25" s="174"/>
      <c r="DT25" s="174"/>
      <c r="DU25" s="174"/>
      <c r="DV25" s="174"/>
      <c r="DW25" s="174"/>
      <c r="DX25" s="174"/>
      <c r="DY25" s="174"/>
    </row>
    <row r="26" spans="1:129" ht="12" customHeight="1" outlineLevel="3">
      <c r="A26" s="162"/>
      <c r="B26" s="162"/>
      <c r="C26" s="162">
        <v>4</v>
      </c>
      <c r="D26" s="163" t="s">
        <v>1611</v>
      </c>
      <c r="E26" s="164"/>
      <c r="F26" s="164"/>
      <c r="G26" s="164"/>
      <c r="H26" s="164" t="s">
        <v>1608</v>
      </c>
      <c r="I26" s="164"/>
      <c r="J26" s="164"/>
      <c r="K26" s="164"/>
      <c r="L26" s="164"/>
      <c r="M26" s="164"/>
      <c r="N26" s="164"/>
      <c r="O26" s="164"/>
      <c r="P26" s="165">
        <v>44117</v>
      </c>
      <c r="Q26" s="165">
        <v>44120</v>
      </c>
      <c r="R26" s="166"/>
      <c r="S26" s="167">
        <v>4</v>
      </c>
      <c r="T26" s="167">
        <v>4</v>
      </c>
      <c r="U26" s="167">
        <v>4</v>
      </c>
      <c r="V26" s="167">
        <v>4</v>
      </c>
      <c r="W26" s="165"/>
      <c r="X26" s="165"/>
      <c r="Y26" s="168"/>
      <c r="Z26" s="169">
        <v>0</v>
      </c>
      <c r="AA26" s="167"/>
      <c r="AB26" s="166" t="s">
        <v>1590</v>
      </c>
      <c r="AC26" s="170"/>
      <c r="AD26" s="171">
        <v>1</v>
      </c>
      <c r="AE26" s="172">
        <v>1</v>
      </c>
      <c r="AF26" s="173"/>
      <c r="AG26" s="174"/>
      <c r="AH26" s="174"/>
      <c r="AI26" s="174"/>
      <c r="AJ26" s="174"/>
      <c r="AK26" s="174"/>
      <c r="AL26" s="174"/>
      <c r="AM26" s="174"/>
      <c r="AN26" s="174"/>
      <c r="AO26" s="174"/>
      <c r="AP26" s="174"/>
      <c r="AQ26" s="174"/>
      <c r="AR26" s="174"/>
      <c r="AS26" s="174"/>
      <c r="AT26" s="174"/>
      <c r="AU26" s="174"/>
      <c r="AV26" s="174"/>
      <c r="AW26" s="174"/>
      <c r="AX26" s="174"/>
      <c r="AY26" s="174"/>
      <c r="AZ26" s="174"/>
      <c r="BA26" s="174"/>
      <c r="BB26" s="174"/>
      <c r="BC26" s="174"/>
      <c r="BD26" s="174"/>
      <c r="BE26" s="174"/>
      <c r="BF26" s="174"/>
      <c r="BG26" s="174"/>
      <c r="BH26" s="174"/>
      <c r="BI26" s="174"/>
      <c r="BJ26" s="174"/>
      <c r="BK26" s="174"/>
      <c r="BL26" s="174"/>
      <c r="BM26" s="174"/>
      <c r="BN26" s="174"/>
      <c r="BO26" s="174"/>
      <c r="BP26" s="174"/>
      <c r="BQ26" s="174"/>
      <c r="BR26" s="174"/>
      <c r="BS26" s="174"/>
      <c r="BT26" s="174"/>
      <c r="BU26" s="174"/>
      <c r="BV26" s="174"/>
      <c r="BW26" s="174"/>
      <c r="BX26" s="174"/>
      <c r="BY26" s="174"/>
      <c r="BZ26" s="174"/>
      <c r="CA26" s="174"/>
      <c r="CB26" s="174" t="str">
        <f>"" &amp; TEXT(AE26,"#0.00%") &amp; " " &amp; "state machine diagram" &amp; "(팀원 모두)" &amp; " " &amp; IF(P26="","",TEXT(P26,"M/D-")) &amp; IF(Q26="","",TEXT(Q26,"M/D")) &amp; " "</f>
        <v xml:space="preserve">100.00% state machine diagram(팀원 모두) 10/13-10/16 </v>
      </c>
      <c r="CC26" s="174"/>
      <c r="CD26" s="174"/>
      <c r="CE26" s="174"/>
      <c r="CF26" s="174"/>
      <c r="CG26" s="174"/>
      <c r="CH26" s="174"/>
      <c r="CI26" s="174"/>
      <c r="CJ26" s="174"/>
      <c r="CK26" s="174"/>
      <c r="CL26" s="174"/>
      <c r="CM26" s="174"/>
      <c r="CN26" s="174"/>
      <c r="CO26" s="174"/>
      <c r="CP26" s="174"/>
      <c r="CQ26" s="174"/>
      <c r="CR26" s="174"/>
      <c r="CS26" s="174"/>
      <c r="CT26" s="174"/>
      <c r="CU26" s="174"/>
      <c r="CV26" s="174"/>
      <c r="CW26" s="174"/>
      <c r="CX26" s="174"/>
      <c r="CY26" s="174"/>
      <c r="CZ26" s="174"/>
      <c r="DA26" s="174"/>
      <c r="DB26" s="174"/>
      <c r="DC26" s="174"/>
      <c r="DD26" s="174"/>
      <c r="DE26" s="174"/>
      <c r="DF26" s="174"/>
      <c r="DG26" s="174"/>
      <c r="DH26" s="174"/>
      <c r="DI26" s="174"/>
      <c r="DJ26" s="174"/>
      <c r="DK26" s="174"/>
      <c r="DL26" s="174"/>
      <c r="DM26" s="174"/>
      <c r="DN26" s="174"/>
      <c r="DO26" s="174"/>
      <c r="DP26" s="174"/>
      <c r="DQ26" s="174"/>
      <c r="DR26" s="174"/>
      <c r="DS26" s="174"/>
      <c r="DT26" s="174"/>
      <c r="DU26" s="174"/>
      <c r="DV26" s="174"/>
      <c r="DW26" s="174"/>
      <c r="DX26" s="174"/>
      <c r="DY26" s="174"/>
    </row>
    <row r="27" spans="1:129" ht="12" customHeight="1">
      <c r="A27" s="162"/>
      <c r="B27" s="162"/>
      <c r="C27" s="162">
        <v>1</v>
      </c>
      <c r="D27" s="163" t="s">
        <v>1101</v>
      </c>
      <c r="E27" s="164" t="s">
        <v>1612</v>
      </c>
      <c r="F27" s="164"/>
      <c r="G27" s="164"/>
      <c r="H27" s="164"/>
      <c r="I27" s="164"/>
      <c r="J27" s="164"/>
      <c r="K27" s="164"/>
      <c r="L27" s="164"/>
      <c r="M27" s="164"/>
      <c r="N27" s="164"/>
      <c r="O27" s="164"/>
      <c r="P27" s="165">
        <v>44126</v>
      </c>
      <c r="Q27" s="165">
        <v>44165</v>
      </c>
      <c r="R27" s="166"/>
      <c r="S27" s="167">
        <v>28</v>
      </c>
      <c r="T27" s="167">
        <v>13</v>
      </c>
      <c r="U27" s="167">
        <v>28</v>
      </c>
      <c r="V27" s="167">
        <v>13</v>
      </c>
      <c r="W27" s="165"/>
      <c r="X27" s="165"/>
      <c r="Y27" s="168"/>
      <c r="Z27" s="169">
        <v>0</v>
      </c>
      <c r="AA27" s="167"/>
      <c r="AB27" s="166"/>
      <c r="AC27" s="170"/>
      <c r="AD27" s="171">
        <v>0.4642857142857143</v>
      </c>
      <c r="AE27" s="172">
        <v>1</v>
      </c>
      <c r="AF27" s="173"/>
      <c r="AG27" s="174"/>
      <c r="AH27" s="174"/>
      <c r="AI27" s="174"/>
      <c r="AJ27" s="174"/>
      <c r="AK27" s="174"/>
      <c r="AL27" s="174"/>
      <c r="AM27" s="174"/>
      <c r="AN27" s="174"/>
      <c r="AO27" s="174"/>
      <c r="AP27" s="174"/>
      <c r="AQ27" s="174"/>
      <c r="AR27" s="174"/>
      <c r="AS27" s="174"/>
      <c r="AT27" s="174"/>
      <c r="AU27" s="174"/>
      <c r="AV27" s="174"/>
      <c r="AW27" s="174"/>
      <c r="AX27" s="174"/>
      <c r="AY27" s="174"/>
      <c r="AZ27" s="174"/>
      <c r="BA27" s="174"/>
      <c r="BB27" s="174"/>
      <c r="BC27" s="174"/>
      <c r="BD27" s="174"/>
      <c r="BE27" s="174"/>
      <c r="BF27" s="174"/>
      <c r="BG27" s="174"/>
      <c r="BH27" s="174"/>
      <c r="BI27" s="174"/>
      <c r="BJ27" s="174"/>
      <c r="BK27" s="174"/>
      <c r="BL27" s="174"/>
      <c r="BM27" s="174"/>
      <c r="BN27" s="174"/>
      <c r="BO27" s="174"/>
      <c r="BP27" s="174"/>
      <c r="BQ27" s="174"/>
      <c r="BR27" s="174"/>
      <c r="BS27" s="174"/>
      <c r="BT27" s="174"/>
      <c r="BU27" s="174"/>
      <c r="BV27" s="174"/>
      <c r="BW27" s="174"/>
      <c r="BX27" s="174"/>
      <c r="BY27" s="174"/>
      <c r="BZ27" s="174"/>
      <c r="CA27" s="174"/>
      <c r="CB27" s="174"/>
      <c r="CC27" s="174"/>
      <c r="CD27" s="174"/>
      <c r="CE27" s="174"/>
      <c r="CF27" s="174"/>
      <c r="CG27" s="174"/>
      <c r="CH27" s="174"/>
      <c r="CI27" s="174"/>
      <c r="CJ27" s="174"/>
      <c r="CK27" s="174"/>
      <c r="CL27" s="174"/>
      <c r="CM27" s="174"/>
      <c r="CN27" s="174"/>
      <c r="CO27" s="174"/>
      <c r="CP27" s="174"/>
      <c r="CQ27" s="174"/>
      <c r="CR27" s="174"/>
      <c r="CS27" s="174"/>
      <c r="CT27" s="174"/>
      <c r="CU27" s="174"/>
      <c r="CV27" s="174"/>
      <c r="CW27" s="174"/>
      <c r="CX27" s="174"/>
      <c r="CY27" s="174"/>
      <c r="CZ27" s="174"/>
      <c r="DA27" s="174"/>
      <c r="DB27" s="174"/>
      <c r="DC27" s="174"/>
      <c r="DD27" s="174"/>
      <c r="DE27" s="174"/>
      <c r="DF27" s="174"/>
      <c r="DG27" s="174"/>
      <c r="DH27" s="174"/>
      <c r="DI27" s="174"/>
      <c r="DJ27" s="174"/>
      <c r="DK27" s="174"/>
      <c r="DL27" s="174"/>
      <c r="DM27" s="174"/>
      <c r="DN27" s="174"/>
      <c r="DO27" s="174"/>
      <c r="DP27" s="174"/>
      <c r="DQ27" s="174"/>
      <c r="DR27" s="174"/>
      <c r="DS27" s="174"/>
      <c r="DT27" s="174"/>
      <c r="DU27" s="174" t="str">
        <f>"" &amp; TEXT(AE27,"#0.00%") &amp; " " &amp; "중간고사" &amp; " " &amp; IF(P27="","",TEXT(P27,"M/D-")) &amp; IF(Q27="","",TEXT(Q27,"M/D")) &amp; " "</f>
        <v xml:space="preserve">100.00% 중간고사 10/22-11/30 </v>
      </c>
      <c r="DV27" s="174"/>
      <c r="DW27" s="174"/>
      <c r="DX27" s="174"/>
      <c r="DY27" s="174"/>
    </row>
    <row r="28" spans="1:129" ht="12" customHeight="1">
      <c r="A28" s="162"/>
      <c r="B28" s="162" t="s">
        <v>1437</v>
      </c>
      <c r="C28" s="162">
        <v>1</v>
      </c>
      <c r="D28" s="163" t="s">
        <v>1118</v>
      </c>
      <c r="E28" s="164" t="s">
        <v>1613</v>
      </c>
      <c r="F28" s="164"/>
      <c r="G28" s="164"/>
      <c r="H28" s="164"/>
      <c r="I28" s="164"/>
      <c r="J28" s="164"/>
      <c r="K28" s="164"/>
      <c r="L28" s="164"/>
      <c r="M28" s="164"/>
      <c r="N28" s="164"/>
      <c r="O28" s="164"/>
      <c r="P28" s="165">
        <v>44126</v>
      </c>
      <c r="Q28" s="165">
        <v>44129</v>
      </c>
      <c r="R28" s="166"/>
      <c r="S28" s="167">
        <v>7</v>
      </c>
      <c r="T28" s="167">
        <v>7</v>
      </c>
      <c r="U28" s="167">
        <v>2</v>
      </c>
      <c r="V28" s="167">
        <v>2</v>
      </c>
      <c r="W28" s="165"/>
      <c r="X28" s="165"/>
      <c r="Y28" s="168">
        <v>0</v>
      </c>
      <c r="Z28" s="169">
        <v>0</v>
      </c>
      <c r="AA28" s="167"/>
      <c r="AB28" s="166"/>
      <c r="AC28" s="170"/>
      <c r="AD28" s="171">
        <v>1</v>
      </c>
      <c r="AE28" s="172">
        <v>1</v>
      </c>
      <c r="AF28" s="173"/>
      <c r="AG28" s="174"/>
      <c r="AH28" s="174"/>
      <c r="AI28" s="174"/>
      <c r="AJ28" s="174"/>
      <c r="AK28" s="174"/>
      <c r="AL28" s="174"/>
      <c r="AM28" s="174"/>
      <c r="AN28" s="174"/>
      <c r="AO28" s="174"/>
      <c r="AP28" s="174"/>
      <c r="AQ28" s="174"/>
      <c r="AR28" s="174"/>
      <c r="AS28" s="174"/>
      <c r="AT28" s="174"/>
      <c r="AU28" s="174"/>
      <c r="AV28" s="174"/>
      <c r="AW28" s="174"/>
      <c r="AX28" s="174"/>
      <c r="AY28" s="174"/>
      <c r="AZ28" s="174"/>
      <c r="BA28" s="174"/>
      <c r="BB28" s="174"/>
      <c r="BC28" s="174"/>
      <c r="BD28" s="174"/>
      <c r="BE28" s="174"/>
      <c r="BF28" s="174"/>
      <c r="BG28" s="174"/>
      <c r="BH28" s="174"/>
      <c r="BI28" s="174"/>
      <c r="BJ28" s="174"/>
      <c r="BK28" s="174"/>
      <c r="BL28" s="174"/>
      <c r="BM28" s="174"/>
      <c r="BN28" s="174"/>
      <c r="BO28" s="174"/>
      <c r="BP28" s="174"/>
      <c r="BQ28" s="174"/>
      <c r="BR28" s="174"/>
      <c r="BS28" s="174"/>
      <c r="BT28" s="174"/>
      <c r="BU28" s="174"/>
      <c r="BV28" s="174"/>
      <c r="BW28" s="174"/>
      <c r="BX28" s="174"/>
      <c r="BY28" s="174"/>
      <c r="BZ28" s="174"/>
      <c r="CA28" s="174"/>
      <c r="CB28" s="174"/>
      <c r="CC28" s="174"/>
      <c r="CD28" s="174"/>
      <c r="CE28" s="174"/>
      <c r="CF28" s="174"/>
      <c r="CG28" s="174"/>
      <c r="CH28" s="174"/>
      <c r="CI28" s="174"/>
      <c r="CJ28" s="174"/>
      <c r="CK28" s="174" t="str">
        <f>"" &amp; TEXT(AE28,"#0.00%") &amp; " " &amp; "1차 회의" &amp; " " &amp; IF(P28="","",TEXT(P28,"M/D-")) &amp; IF(Q28="","",TEXT(Q28,"M/D")) &amp; " "</f>
        <v xml:space="preserve">100.00% 1차 회의 10/22-10/25 </v>
      </c>
      <c r="CL28" s="174"/>
      <c r="CM28" s="174"/>
      <c r="CN28" s="174"/>
      <c r="CO28" s="174"/>
      <c r="CP28" s="174"/>
      <c r="CQ28" s="174"/>
      <c r="CR28" s="174"/>
      <c r="CS28" s="174"/>
      <c r="CT28" s="174"/>
      <c r="CU28" s="174"/>
      <c r="CV28" s="174"/>
      <c r="CW28" s="174"/>
      <c r="CX28" s="174"/>
      <c r="CY28" s="174"/>
      <c r="CZ28" s="174"/>
      <c r="DA28" s="174"/>
      <c r="DB28" s="174"/>
      <c r="DC28" s="174"/>
      <c r="DD28" s="174"/>
      <c r="DE28" s="174"/>
      <c r="DF28" s="174"/>
      <c r="DG28" s="174"/>
      <c r="DH28" s="174"/>
      <c r="DI28" s="174"/>
      <c r="DJ28" s="174"/>
      <c r="DK28" s="174"/>
      <c r="DL28" s="174"/>
      <c r="DM28" s="174"/>
      <c r="DN28" s="174"/>
      <c r="DO28" s="174"/>
      <c r="DP28" s="174"/>
      <c r="DQ28" s="174"/>
      <c r="DR28" s="174"/>
      <c r="DS28" s="174"/>
      <c r="DT28" s="174"/>
      <c r="DU28" s="174"/>
      <c r="DV28" s="174"/>
      <c r="DW28" s="174"/>
      <c r="DX28" s="174"/>
      <c r="DY28" s="174"/>
    </row>
    <row r="29" spans="1:129" ht="12" customHeight="1" outlineLevel="1">
      <c r="A29" s="162"/>
      <c r="B29" s="162"/>
      <c r="C29" s="162">
        <v>2</v>
      </c>
      <c r="D29" s="163" t="s">
        <v>1652</v>
      </c>
      <c r="E29" s="164"/>
      <c r="F29" s="164" t="s">
        <v>1614</v>
      </c>
      <c r="G29" s="164"/>
      <c r="H29" s="164"/>
      <c r="I29" s="164"/>
      <c r="J29" s="164"/>
      <c r="K29" s="164"/>
      <c r="L29" s="164"/>
      <c r="M29" s="164"/>
      <c r="N29" s="164"/>
      <c r="O29" s="164"/>
      <c r="P29" s="165">
        <v>44126</v>
      </c>
      <c r="Q29" s="165">
        <v>44126</v>
      </c>
      <c r="R29" s="166"/>
      <c r="S29" s="167">
        <v>2</v>
      </c>
      <c r="T29" s="167">
        <v>2</v>
      </c>
      <c r="U29" s="167">
        <v>1</v>
      </c>
      <c r="V29" s="167">
        <v>1</v>
      </c>
      <c r="W29" s="165"/>
      <c r="X29" s="165"/>
      <c r="Y29" s="168"/>
      <c r="Z29" s="169">
        <v>0</v>
      </c>
      <c r="AA29" s="167"/>
      <c r="AB29" s="166" t="s">
        <v>1592</v>
      </c>
      <c r="AC29" s="170"/>
      <c r="AD29" s="171">
        <v>1</v>
      </c>
      <c r="AE29" s="172">
        <v>1</v>
      </c>
      <c r="AF29" s="173"/>
      <c r="AG29" s="174"/>
      <c r="AH29" s="174"/>
      <c r="AI29" s="174"/>
      <c r="AJ29" s="174"/>
      <c r="AK29" s="174"/>
      <c r="AL29" s="174"/>
      <c r="AM29" s="174"/>
      <c r="AN29" s="174"/>
      <c r="AO29" s="174"/>
      <c r="AP29" s="174"/>
      <c r="AQ29" s="174"/>
      <c r="AR29" s="174"/>
      <c r="AS29" s="174"/>
      <c r="AT29" s="174"/>
      <c r="AU29" s="174"/>
      <c r="AV29" s="174"/>
      <c r="AW29" s="174"/>
      <c r="AX29" s="174"/>
      <c r="AY29" s="174"/>
      <c r="AZ29" s="174"/>
      <c r="BA29" s="174"/>
      <c r="BB29" s="174"/>
      <c r="BC29" s="174"/>
      <c r="BD29" s="174"/>
      <c r="BE29" s="174"/>
      <c r="BF29" s="174"/>
      <c r="BG29" s="174"/>
      <c r="BH29" s="174"/>
      <c r="BI29" s="174"/>
      <c r="BJ29" s="174"/>
      <c r="BK29" s="174"/>
      <c r="BL29" s="174"/>
      <c r="BM29" s="174"/>
      <c r="BN29" s="174"/>
      <c r="BO29" s="174"/>
      <c r="BP29" s="174"/>
      <c r="BQ29" s="174"/>
      <c r="BR29" s="174"/>
      <c r="BS29" s="174"/>
      <c r="BT29" s="174"/>
      <c r="BU29" s="174"/>
      <c r="BV29" s="174"/>
      <c r="BW29" s="174"/>
      <c r="BX29" s="174"/>
      <c r="BY29" s="174"/>
      <c r="BZ29" s="174"/>
      <c r="CA29" s="174"/>
      <c r="CB29" s="174"/>
      <c r="CC29" s="174"/>
      <c r="CD29" s="174"/>
      <c r="CE29" s="174"/>
      <c r="CF29" s="174"/>
      <c r="CG29" s="174"/>
      <c r="CH29" s="174" t="str">
        <f>"" &amp; TEXT(AE29,"#0.00%") &amp; " " &amp; "기능적/비기능적 요구 수정" &amp; "(김민수, 박지민)" &amp; " " &amp; IF(P29="","",TEXT(P29,"M/D-")) &amp; IF(Q29="","",TEXT(Q29,"M/D")) &amp; " "</f>
        <v xml:space="preserve">100.00% 기능적/비기능적 요구 수정(김민수, 박지민) 10/22-10/22 </v>
      </c>
      <c r="CI29" s="174"/>
      <c r="CJ29" s="174"/>
      <c r="CK29" s="174"/>
      <c r="CL29" s="174"/>
      <c r="CM29" s="174"/>
      <c r="CN29" s="174"/>
      <c r="CO29" s="174"/>
      <c r="CP29" s="174"/>
      <c r="CQ29" s="174"/>
      <c r="CR29" s="174"/>
      <c r="CS29" s="174"/>
      <c r="CT29" s="174"/>
      <c r="CU29" s="174"/>
      <c r="CV29" s="174"/>
      <c r="CW29" s="174"/>
      <c r="CX29" s="174"/>
      <c r="CY29" s="174"/>
      <c r="CZ29" s="174"/>
      <c r="DA29" s="174"/>
      <c r="DB29" s="174"/>
      <c r="DC29" s="174"/>
      <c r="DD29" s="174"/>
      <c r="DE29" s="174"/>
      <c r="DF29" s="174"/>
      <c r="DG29" s="174"/>
      <c r="DH29" s="174"/>
      <c r="DI29" s="174"/>
      <c r="DJ29" s="174"/>
      <c r="DK29" s="174"/>
      <c r="DL29" s="174"/>
      <c r="DM29" s="174"/>
      <c r="DN29" s="174"/>
      <c r="DO29" s="174"/>
      <c r="DP29" s="174"/>
      <c r="DQ29" s="174"/>
      <c r="DR29" s="174"/>
      <c r="DS29" s="174"/>
      <c r="DT29" s="174"/>
      <c r="DU29" s="174"/>
      <c r="DV29" s="174"/>
      <c r="DW29" s="174"/>
      <c r="DX29" s="174"/>
      <c r="DY29" s="174"/>
    </row>
    <row r="30" spans="1:129" ht="12" customHeight="1" outlineLevel="1">
      <c r="A30" s="162"/>
      <c r="B30" s="162"/>
      <c r="C30" s="162">
        <v>2</v>
      </c>
      <c r="D30" s="163" t="s">
        <v>1653</v>
      </c>
      <c r="E30" s="164"/>
      <c r="F30" s="164" t="s">
        <v>1615</v>
      </c>
      <c r="G30" s="164"/>
      <c r="H30" s="164"/>
      <c r="I30" s="164"/>
      <c r="J30" s="164"/>
      <c r="K30" s="164"/>
      <c r="L30" s="164"/>
      <c r="M30" s="164"/>
      <c r="N30" s="164"/>
      <c r="O30" s="164"/>
      <c r="P30" s="165">
        <v>44126</v>
      </c>
      <c r="Q30" s="165">
        <v>44126</v>
      </c>
      <c r="R30" s="166"/>
      <c r="S30" s="167">
        <v>1</v>
      </c>
      <c r="T30" s="167">
        <v>1</v>
      </c>
      <c r="U30" s="167">
        <v>1</v>
      </c>
      <c r="V30" s="167">
        <v>1</v>
      </c>
      <c r="W30" s="165"/>
      <c r="X30" s="165"/>
      <c r="Y30" s="168"/>
      <c r="Z30" s="169">
        <v>0</v>
      </c>
      <c r="AA30" s="167"/>
      <c r="AB30" s="166" t="s">
        <v>1619</v>
      </c>
      <c r="AC30" s="170"/>
      <c r="AD30" s="171">
        <v>1</v>
      </c>
      <c r="AE30" s="172">
        <v>1</v>
      </c>
      <c r="AF30" s="173"/>
      <c r="AG30" s="174"/>
      <c r="AH30" s="174"/>
      <c r="AI30" s="174"/>
      <c r="AJ30" s="174"/>
      <c r="AK30" s="174"/>
      <c r="AL30" s="174"/>
      <c r="AM30" s="174"/>
      <c r="AN30" s="174"/>
      <c r="AO30" s="174"/>
      <c r="AP30" s="174"/>
      <c r="AQ30" s="174"/>
      <c r="AR30" s="174"/>
      <c r="AS30" s="174"/>
      <c r="AT30" s="174"/>
      <c r="AU30" s="174"/>
      <c r="AV30" s="174"/>
      <c r="AW30" s="174"/>
      <c r="AX30" s="174"/>
      <c r="AY30" s="174"/>
      <c r="AZ30" s="174"/>
      <c r="BA30" s="174"/>
      <c r="BB30" s="174"/>
      <c r="BC30" s="174"/>
      <c r="BD30" s="174"/>
      <c r="BE30" s="174"/>
      <c r="BF30" s="174"/>
      <c r="BG30" s="174"/>
      <c r="BH30" s="174"/>
      <c r="BI30" s="174"/>
      <c r="BJ30" s="174"/>
      <c r="BK30" s="174"/>
      <c r="BL30" s="174"/>
      <c r="BM30" s="174"/>
      <c r="BN30" s="174"/>
      <c r="BO30" s="174"/>
      <c r="BP30" s="174"/>
      <c r="BQ30" s="174"/>
      <c r="BR30" s="174"/>
      <c r="BS30" s="174"/>
      <c r="BT30" s="174"/>
      <c r="BU30" s="174"/>
      <c r="BV30" s="174"/>
      <c r="BW30" s="174"/>
      <c r="BX30" s="174"/>
      <c r="BY30" s="174"/>
      <c r="BZ30" s="174"/>
      <c r="CA30" s="174"/>
      <c r="CB30" s="174"/>
      <c r="CC30" s="174"/>
      <c r="CD30" s="174"/>
      <c r="CE30" s="174"/>
      <c r="CF30" s="174"/>
      <c r="CG30" s="174"/>
      <c r="CH30" s="174" t="str">
        <f>"" &amp; TEXT(AE30,"#0.00%") &amp; " " &amp; "use-case diagram 작성" &amp; "(조동현)" &amp; " " &amp; IF(P30="","",TEXT(P30,"M/D-")) &amp; IF(Q30="","",TEXT(Q30,"M/D")) &amp; " "</f>
        <v xml:space="preserve">100.00% use-case diagram 작성(조동현) 10/22-10/22 </v>
      </c>
      <c r="CI30" s="174"/>
      <c r="CJ30" s="174"/>
      <c r="CK30" s="174"/>
      <c r="CL30" s="174"/>
      <c r="CM30" s="174"/>
      <c r="CN30" s="174"/>
      <c r="CO30" s="174"/>
      <c r="CP30" s="174"/>
      <c r="CQ30" s="174"/>
      <c r="CR30" s="174"/>
      <c r="CS30" s="174"/>
      <c r="CT30" s="174"/>
      <c r="CU30" s="174"/>
      <c r="CV30" s="174"/>
      <c r="CW30" s="174"/>
      <c r="CX30" s="174"/>
      <c r="CY30" s="174"/>
      <c r="CZ30" s="174"/>
      <c r="DA30" s="174"/>
      <c r="DB30" s="174"/>
      <c r="DC30" s="174"/>
      <c r="DD30" s="174"/>
      <c r="DE30" s="174"/>
      <c r="DF30" s="174"/>
      <c r="DG30" s="174"/>
      <c r="DH30" s="174"/>
      <c r="DI30" s="174"/>
      <c r="DJ30" s="174"/>
      <c r="DK30" s="174"/>
      <c r="DL30" s="174"/>
      <c r="DM30" s="174"/>
      <c r="DN30" s="174"/>
      <c r="DO30" s="174"/>
      <c r="DP30" s="174"/>
      <c r="DQ30" s="174"/>
      <c r="DR30" s="174"/>
      <c r="DS30" s="174"/>
      <c r="DT30" s="174"/>
      <c r="DU30" s="174"/>
      <c r="DV30" s="174"/>
      <c r="DW30" s="174"/>
      <c r="DX30" s="174"/>
      <c r="DY30" s="174"/>
    </row>
    <row r="31" spans="1:129" ht="12" customHeight="1" outlineLevel="1">
      <c r="A31" s="162"/>
      <c r="B31" s="162"/>
      <c r="C31" s="162">
        <v>2</v>
      </c>
      <c r="D31" s="163" t="s">
        <v>1654</v>
      </c>
      <c r="E31" s="164"/>
      <c r="F31" s="164" t="s">
        <v>1616</v>
      </c>
      <c r="G31" s="164"/>
      <c r="H31" s="164"/>
      <c r="I31" s="164"/>
      <c r="J31" s="164"/>
      <c r="K31" s="164"/>
      <c r="L31" s="164"/>
      <c r="M31" s="164"/>
      <c r="N31" s="164"/>
      <c r="O31" s="164"/>
      <c r="P31" s="165">
        <v>44126</v>
      </c>
      <c r="Q31" s="165">
        <v>44126</v>
      </c>
      <c r="R31" s="166"/>
      <c r="S31" s="167">
        <v>1</v>
      </c>
      <c r="T31" s="167">
        <v>1</v>
      </c>
      <c r="U31" s="167">
        <v>1</v>
      </c>
      <c r="V31" s="167">
        <v>1</v>
      </c>
      <c r="W31" s="165"/>
      <c r="X31" s="165"/>
      <c r="Y31" s="168"/>
      <c r="Z31" s="169">
        <v>0</v>
      </c>
      <c r="AA31" s="167"/>
      <c r="AB31" s="166" t="s">
        <v>1620</v>
      </c>
      <c r="AC31" s="170"/>
      <c r="AD31" s="171">
        <v>1</v>
      </c>
      <c r="AE31" s="172">
        <v>1</v>
      </c>
      <c r="AF31" s="173"/>
      <c r="AG31" s="174"/>
      <c r="AH31" s="174"/>
      <c r="AI31" s="174"/>
      <c r="AJ31" s="174"/>
      <c r="AK31" s="174"/>
      <c r="AL31" s="174"/>
      <c r="AM31" s="174"/>
      <c r="AN31" s="174"/>
      <c r="AO31" s="174"/>
      <c r="AP31" s="174"/>
      <c r="AQ31" s="174"/>
      <c r="AR31" s="174"/>
      <c r="AS31" s="174"/>
      <c r="AT31" s="174"/>
      <c r="AU31" s="174"/>
      <c r="AV31" s="174"/>
      <c r="AW31" s="174"/>
      <c r="AX31" s="174"/>
      <c r="AY31" s="174"/>
      <c r="AZ31" s="174"/>
      <c r="BA31" s="174"/>
      <c r="BB31" s="174"/>
      <c r="BC31" s="174"/>
      <c r="BD31" s="174"/>
      <c r="BE31" s="174"/>
      <c r="BF31" s="174"/>
      <c r="BG31" s="174"/>
      <c r="BH31" s="174"/>
      <c r="BI31" s="174"/>
      <c r="BJ31" s="174"/>
      <c r="BK31" s="174"/>
      <c r="BL31" s="174"/>
      <c r="BM31" s="174"/>
      <c r="BN31" s="174"/>
      <c r="BO31" s="174"/>
      <c r="BP31" s="174"/>
      <c r="BQ31" s="174"/>
      <c r="BR31" s="174"/>
      <c r="BS31" s="174"/>
      <c r="BT31" s="174"/>
      <c r="BU31" s="174"/>
      <c r="BV31" s="174"/>
      <c r="BW31" s="174"/>
      <c r="BX31" s="174"/>
      <c r="BY31" s="174"/>
      <c r="BZ31" s="174"/>
      <c r="CA31" s="174"/>
      <c r="CB31" s="174"/>
      <c r="CC31" s="174"/>
      <c r="CD31" s="174"/>
      <c r="CE31" s="174"/>
      <c r="CF31" s="174"/>
      <c r="CG31" s="174"/>
      <c r="CH31" s="174" t="str">
        <f>"" &amp; TEXT(AE31,"#0.00%") &amp; " " &amp; "use-case description 작성" &amp; "(남인우 조동현)" &amp; " " &amp; IF(P31="","",TEXT(P31,"M/D-")) &amp; IF(Q31="","",TEXT(Q31,"M/D")) &amp; " "</f>
        <v xml:space="preserve">100.00% use-case description 작성(남인우 조동현) 10/22-10/22 </v>
      </c>
      <c r="CI31" s="174"/>
      <c r="CJ31" s="174"/>
      <c r="CK31" s="174"/>
      <c r="CL31" s="174"/>
      <c r="CM31" s="174"/>
      <c r="CN31" s="174"/>
      <c r="CO31" s="174"/>
      <c r="CP31" s="174"/>
      <c r="CQ31" s="174"/>
      <c r="CR31" s="174"/>
      <c r="CS31" s="174"/>
      <c r="CT31" s="174"/>
      <c r="CU31" s="174"/>
      <c r="CV31" s="174"/>
      <c r="CW31" s="174"/>
      <c r="CX31" s="174"/>
      <c r="CY31" s="174"/>
      <c r="CZ31" s="174"/>
      <c r="DA31" s="174"/>
      <c r="DB31" s="174"/>
      <c r="DC31" s="174"/>
      <c r="DD31" s="174"/>
      <c r="DE31" s="174"/>
      <c r="DF31" s="174"/>
      <c r="DG31" s="174"/>
      <c r="DH31" s="174"/>
      <c r="DI31" s="174"/>
      <c r="DJ31" s="174"/>
      <c r="DK31" s="174"/>
      <c r="DL31" s="174"/>
      <c r="DM31" s="174"/>
      <c r="DN31" s="174"/>
      <c r="DO31" s="174"/>
      <c r="DP31" s="174"/>
      <c r="DQ31" s="174"/>
      <c r="DR31" s="174"/>
      <c r="DS31" s="174"/>
      <c r="DT31" s="174"/>
      <c r="DU31" s="174"/>
      <c r="DV31" s="174"/>
      <c r="DW31" s="174"/>
      <c r="DX31" s="174"/>
      <c r="DY31" s="174"/>
    </row>
    <row r="32" spans="1:129" ht="12" customHeight="1" outlineLevel="1">
      <c r="A32" s="162"/>
      <c r="B32" s="162"/>
      <c r="C32" s="162">
        <v>2</v>
      </c>
      <c r="D32" s="163" t="s">
        <v>1655</v>
      </c>
      <c r="E32" s="164"/>
      <c r="F32" s="164" t="s">
        <v>1617</v>
      </c>
      <c r="G32" s="164"/>
      <c r="H32" s="164"/>
      <c r="I32" s="164"/>
      <c r="J32" s="164"/>
      <c r="K32" s="164"/>
      <c r="L32" s="164"/>
      <c r="M32" s="164"/>
      <c r="N32" s="164"/>
      <c r="O32" s="164"/>
      <c r="P32" s="165">
        <v>44126</v>
      </c>
      <c r="Q32" s="165">
        <v>44126</v>
      </c>
      <c r="R32" s="166"/>
      <c r="S32" s="167">
        <v>1</v>
      </c>
      <c r="T32" s="167">
        <v>1</v>
      </c>
      <c r="U32" s="167">
        <v>1</v>
      </c>
      <c r="V32" s="167">
        <v>1</v>
      </c>
      <c r="W32" s="165"/>
      <c r="X32" s="165"/>
      <c r="Y32" s="168"/>
      <c r="Z32" s="169">
        <v>0</v>
      </c>
      <c r="AA32" s="167"/>
      <c r="AB32" s="166" t="s">
        <v>1621</v>
      </c>
      <c r="AC32" s="170"/>
      <c r="AD32" s="171">
        <v>1</v>
      </c>
      <c r="AE32" s="172">
        <v>1</v>
      </c>
      <c r="AF32" s="173"/>
      <c r="AG32" s="174"/>
      <c r="AH32" s="174"/>
      <c r="AI32" s="174"/>
      <c r="AJ32" s="174"/>
      <c r="AK32" s="174"/>
      <c r="AL32" s="174"/>
      <c r="AM32" s="174"/>
      <c r="AN32" s="174"/>
      <c r="AO32" s="174"/>
      <c r="AP32" s="174"/>
      <c r="AQ32" s="174"/>
      <c r="AR32" s="174"/>
      <c r="AS32" s="174"/>
      <c r="AT32" s="174"/>
      <c r="AU32" s="174"/>
      <c r="AV32" s="174"/>
      <c r="AW32" s="174"/>
      <c r="AX32" s="174"/>
      <c r="AY32" s="174"/>
      <c r="AZ32" s="174"/>
      <c r="BA32" s="174"/>
      <c r="BB32" s="174"/>
      <c r="BC32" s="174"/>
      <c r="BD32" s="174"/>
      <c r="BE32" s="174"/>
      <c r="BF32" s="174"/>
      <c r="BG32" s="174"/>
      <c r="BH32" s="174"/>
      <c r="BI32" s="174"/>
      <c r="BJ32" s="174"/>
      <c r="BK32" s="174"/>
      <c r="BL32" s="174"/>
      <c r="BM32" s="174"/>
      <c r="BN32" s="174"/>
      <c r="BO32" s="174"/>
      <c r="BP32" s="174"/>
      <c r="BQ32" s="174"/>
      <c r="BR32" s="174"/>
      <c r="BS32" s="174"/>
      <c r="BT32" s="174"/>
      <c r="BU32" s="174"/>
      <c r="BV32" s="174"/>
      <c r="BW32" s="174"/>
      <c r="BX32" s="174"/>
      <c r="BY32" s="174"/>
      <c r="BZ32" s="174"/>
      <c r="CA32" s="174"/>
      <c r="CB32" s="174"/>
      <c r="CC32" s="174"/>
      <c r="CD32" s="174"/>
      <c r="CE32" s="174"/>
      <c r="CF32" s="174"/>
      <c r="CG32" s="174"/>
      <c r="CH32" s="174" t="str">
        <f>"" &amp; TEXT(AE32,"#0.00%") &amp; " " &amp; "activity diagram 작성" &amp; "(김민수 박지민)" &amp; " " &amp; IF(P32="","",TEXT(P32,"M/D-")) &amp; IF(Q32="","",TEXT(Q32,"M/D")) &amp; " "</f>
        <v xml:space="preserve">100.00% activity diagram 작성(김민수 박지민) 10/22-10/22 </v>
      </c>
      <c r="CI32" s="174"/>
      <c r="CJ32" s="174"/>
      <c r="CK32" s="174"/>
      <c r="CL32" s="174"/>
      <c r="CM32" s="174"/>
      <c r="CN32" s="174"/>
      <c r="CO32" s="174"/>
      <c r="CP32" s="174"/>
      <c r="CQ32" s="174"/>
      <c r="CR32" s="174"/>
      <c r="CS32" s="174"/>
      <c r="CT32" s="174"/>
      <c r="CU32" s="174"/>
      <c r="CV32" s="174"/>
      <c r="CW32" s="174"/>
      <c r="CX32" s="174"/>
      <c r="CY32" s="174"/>
      <c r="CZ32" s="174"/>
      <c r="DA32" s="174"/>
      <c r="DB32" s="174"/>
      <c r="DC32" s="174"/>
      <c r="DD32" s="174"/>
      <c r="DE32" s="174"/>
      <c r="DF32" s="174"/>
      <c r="DG32" s="174"/>
      <c r="DH32" s="174"/>
      <c r="DI32" s="174"/>
      <c r="DJ32" s="174"/>
      <c r="DK32" s="174"/>
      <c r="DL32" s="174"/>
      <c r="DM32" s="174"/>
      <c r="DN32" s="174"/>
      <c r="DO32" s="174"/>
      <c r="DP32" s="174"/>
      <c r="DQ32" s="174"/>
      <c r="DR32" s="174"/>
      <c r="DS32" s="174"/>
      <c r="DT32" s="174"/>
      <c r="DU32" s="174"/>
      <c r="DV32" s="174"/>
      <c r="DW32" s="174"/>
      <c r="DX32" s="174"/>
      <c r="DY32" s="174"/>
    </row>
    <row r="33" spans="1:129" ht="12" customHeight="1" outlineLevel="1">
      <c r="A33" s="162"/>
      <c r="B33" s="162"/>
      <c r="C33" s="162">
        <v>2</v>
      </c>
      <c r="D33" s="163" t="s">
        <v>1656</v>
      </c>
      <c r="E33" s="164"/>
      <c r="F33" s="164" t="s">
        <v>1618</v>
      </c>
      <c r="G33" s="164"/>
      <c r="H33" s="164"/>
      <c r="I33" s="164"/>
      <c r="J33" s="164"/>
      <c r="K33" s="164"/>
      <c r="L33" s="164"/>
      <c r="M33" s="164"/>
      <c r="N33" s="164"/>
      <c r="O33" s="164"/>
      <c r="P33" s="165">
        <v>44126</v>
      </c>
      <c r="Q33" s="165">
        <v>44129</v>
      </c>
      <c r="R33" s="166"/>
      <c r="S33" s="167">
        <v>2</v>
      </c>
      <c r="T33" s="167">
        <v>2</v>
      </c>
      <c r="U33" s="167">
        <v>2</v>
      </c>
      <c r="V33" s="167">
        <v>2</v>
      </c>
      <c r="W33" s="165"/>
      <c r="X33" s="165"/>
      <c r="Y33" s="168"/>
      <c r="Z33" s="169">
        <v>0</v>
      </c>
      <c r="AA33" s="167"/>
      <c r="AB33" s="166" t="s">
        <v>1630</v>
      </c>
      <c r="AC33" s="170"/>
      <c r="AD33" s="171">
        <v>1</v>
      </c>
      <c r="AE33" s="172">
        <v>1</v>
      </c>
      <c r="AF33" s="173"/>
      <c r="AG33" s="174"/>
      <c r="AH33" s="174"/>
      <c r="AI33" s="174"/>
      <c r="AJ33" s="174"/>
      <c r="AK33" s="174"/>
      <c r="AL33" s="174"/>
      <c r="AM33" s="174"/>
      <c r="AN33" s="174"/>
      <c r="AO33" s="174"/>
      <c r="AP33" s="174"/>
      <c r="AQ33" s="174"/>
      <c r="AR33" s="174"/>
      <c r="AS33" s="174"/>
      <c r="AT33" s="174"/>
      <c r="AU33" s="174"/>
      <c r="AV33" s="174"/>
      <c r="AW33" s="174"/>
      <c r="AX33" s="174"/>
      <c r="AY33" s="174"/>
      <c r="AZ33" s="174"/>
      <c r="BA33" s="174"/>
      <c r="BB33" s="174"/>
      <c r="BC33" s="174"/>
      <c r="BD33" s="174"/>
      <c r="BE33" s="174"/>
      <c r="BF33" s="174"/>
      <c r="BG33" s="174"/>
      <c r="BH33" s="174"/>
      <c r="BI33" s="174"/>
      <c r="BJ33" s="174"/>
      <c r="BK33" s="174"/>
      <c r="BL33" s="174"/>
      <c r="BM33" s="174"/>
      <c r="BN33" s="174"/>
      <c r="BO33" s="174"/>
      <c r="BP33" s="174"/>
      <c r="BQ33" s="174"/>
      <c r="BR33" s="174"/>
      <c r="BS33" s="174"/>
      <c r="BT33" s="174"/>
      <c r="BU33" s="174"/>
      <c r="BV33" s="174"/>
      <c r="BW33" s="174"/>
      <c r="BX33" s="174"/>
      <c r="BY33" s="174"/>
      <c r="BZ33" s="174"/>
      <c r="CA33" s="174"/>
      <c r="CB33" s="174"/>
      <c r="CC33" s="174"/>
      <c r="CD33" s="174"/>
      <c r="CE33" s="174"/>
      <c r="CF33" s="174"/>
      <c r="CG33" s="174"/>
      <c r="CH33" s="174"/>
      <c r="CI33" s="174"/>
      <c r="CJ33" s="174"/>
      <c r="CK33" s="174" t="str">
        <f>"" &amp; TEXT(AE33,"#0.00%") &amp; " " &amp; "타당성 검증" &amp; "(팀원 모두 (재택근무))" &amp; " " &amp; IF(P33="","",TEXT(P33,"M/D-")) &amp; IF(Q33="","",TEXT(Q33,"M/D")) &amp; " "</f>
        <v xml:space="preserve">100.00% 타당성 검증(팀원 모두 (재택근무)) 10/22-10/25 </v>
      </c>
      <c r="CL33" s="174"/>
      <c r="CM33" s="174"/>
      <c r="CN33" s="174"/>
      <c r="CO33" s="174"/>
      <c r="CP33" s="174"/>
      <c r="CQ33" s="174"/>
      <c r="CR33" s="174"/>
      <c r="CS33" s="174"/>
      <c r="CT33" s="174"/>
      <c r="CU33" s="174"/>
      <c r="CV33" s="174"/>
      <c r="CW33" s="174"/>
      <c r="CX33" s="174"/>
      <c r="CY33" s="174"/>
      <c r="CZ33" s="174"/>
      <c r="DA33" s="174"/>
      <c r="DB33" s="174"/>
      <c r="DC33" s="174"/>
      <c r="DD33" s="174"/>
      <c r="DE33" s="174"/>
      <c r="DF33" s="174"/>
      <c r="DG33" s="174"/>
      <c r="DH33" s="174"/>
      <c r="DI33" s="174"/>
      <c r="DJ33" s="174"/>
      <c r="DK33" s="174"/>
      <c r="DL33" s="174"/>
      <c r="DM33" s="174"/>
      <c r="DN33" s="174"/>
      <c r="DO33" s="174"/>
      <c r="DP33" s="174"/>
      <c r="DQ33" s="174"/>
      <c r="DR33" s="174"/>
      <c r="DS33" s="174"/>
      <c r="DT33" s="174"/>
      <c r="DU33" s="174"/>
      <c r="DV33" s="174"/>
      <c r="DW33" s="174"/>
      <c r="DX33" s="174"/>
      <c r="DY33" s="174"/>
    </row>
    <row r="34" spans="1:129" ht="12" customHeight="1">
      <c r="A34" s="162"/>
      <c r="B34" s="162" t="s">
        <v>1437</v>
      </c>
      <c r="C34" s="162">
        <v>1</v>
      </c>
      <c r="D34" s="163" t="s">
        <v>1119</v>
      </c>
      <c r="E34" s="164" t="s">
        <v>1622</v>
      </c>
      <c r="F34" s="164"/>
      <c r="G34" s="164"/>
      <c r="H34" s="164"/>
      <c r="I34" s="164"/>
      <c r="J34" s="164"/>
      <c r="K34" s="164"/>
      <c r="L34" s="164"/>
      <c r="M34" s="164"/>
      <c r="N34" s="164"/>
      <c r="O34" s="164"/>
      <c r="P34" s="165">
        <v>44130</v>
      </c>
      <c r="Q34" s="165">
        <v>44144</v>
      </c>
      <c r="R34" s="166"/>
      <c r="S34" s="167">
        <v>15</v>
      </c>
      <c r="T34" s="167">
        <v>15</v>
      </c>
      <c r="U34" s="167">
        <v>11</v>
      </c>
      <c r="V34" s="167">
        <v>11</v>
      </c>
      <c r="W34" s="165"/>
      <c r="X34" s="165"/>
      <c r="Y34" s="168">
        <v>0</v>
      </c>
      <c r="Z34" s="169">
        <v>0</v>
      </c>
      <c r="AA34" s="167"/>
      <c r="AB34" s="166"/>
      <c r="AC34" s="170"/>
      <c r="AD34" s="171">
        <v>1</v>
      </c>
      <c r="AE34" s="172">
        <v>0.33333333333333331</v>
      </c>
      <c r="AF34" s="173"/>
      <c r="AG34" s="174"/>
      <c r="AH34" s="174"/>
      <c r="AI34" s="174"/>
      <c r="AJ34" s="174"/>
      <c r="AK34" s="174"/>
      <c r="AL34" s="174"/>
      <c r="AM34" s="174"/>
      <c r="AN34" s="174"/>
      <c r="AO34" s="174"/>
      <c r="AP34" s="174"/>
      <c r="AQ34" s="174"/>
      <c r="AR34" s="174"/>
      <c r="AS34" s="174"/>
      <c r="AT34" s="174"/>
      <c r="AU34" s="174"/>
      <c r="AV34" s="174"/>
      <c r="AW34" s="174"/>
      <c r="AX34" s="174"/>
      <c r="AY34" s="174"/>
      <c r="AZ34" s="174"/>
      <c r="BA34" s="174"/>
      <c r="BB34" s="174"/>
      <c r="BC34" s="174"/>
      <c r="BD34" s="174"/>
      <c r="BE34" s="174"/>
      <c r="BF34" s="174"/>
      <c r="BG34" s="174"/>
      <c r="BH34" s="174"/>
      <c r="BI34" s="174"/>
      <c r="BJ34" s="174"/>
      <c r="BK34" s="174"/>
      <c r="BL34" s="174"/>
      <c r="BM34" s="174"/>
      <c r="BN34" s="174"/>
      <c r="BO34" s="174"/>
      <c r="BP34" s="174"/>
      <c r="BQ34" s="174"/>
      <c r="BR34" s="174"/>
      <c r="BS34" s="174"/>
      <c r="BT34" s="174"/>
      <c r="BU34" s="174"/>
      <c r="BV34" s="174"/>
      <c r="BW34" s="174"/>
      <c r="BX34" s="174"/>
      <c r="BY34" s="174"/>
      <c r="BZ34" s="174"/>
      <c r="CA34" s="174"/>
      <c r="CB34" s="174"/>
      <c r="CC34" s="174"/>
      <c r="CD34" s="174"/>
      <c r="CE34" s="174"/>
      <c r="CF34" s="174"/>
      <c r="CG34" s="174"/>
      <c r="CH34" s="174"/>
      <c r="CI34" s="174"/>
      <c r="CJ34" s="174"/>
      <c r="CK34" s="174"/>
      <c r="CL34" s="174"/>
      <c r="CM34" s="174"/>
      <c r="CN34" s="174"/>
      <c r="CO34" s="174"/>
      <c r="CP34" s="174" t="str">
        <f>"" &amp; TEXT(AE34,"#0.00%") &amp; " "</f>
        <v xml:space="preserve">33.33% </v>
      </c>
      <c r="CQ34" s="174"/>
      <c r="CR34" s="174"/>
      <c r="CS34" s="174"/>
      <c r="CT34" s="174"/>
      <c r="CU34" s="174"/>
      <c r="CV34" s="174"/>
      <c r="CW34" s="174"/>
      <c r="CX34" s="174"/>
      <c r="CY34" s="174"/>
      <c r="CZ34" s="174" t="str">
        <f>"" &amp; "2차 회의" &amp; " " &amp; IF(P34="","",TEXT(P34,"M/D-")) &amp; IF(Q34="","",TEXT(Q34,"M/D")) &amp; " "</f>
        <v xml:space="preserve">2차 회의 10/26-11/9 </v>
      </c>
      <c r="DA34" s="174"/>
      <c r="DB34" s="174"/>
      <c r="DC34" s="174"/>
      <c r="DD34" s="174"/>
      <c r="DE34" s="174"/>
      <c r="DF34" s="174"/>
      <c r="DG34" s="174"/>
      <c r="DH34" s="174"/>
      <c r="DI34" s="174"/>
      <c r="DJ34" s="174"/>
      <c r="DK34" s="174"/>
      <c r="DL34" s="174"/>
      <c r="DM34" s="174"/>
      <c r="DN34" s="174"/>
      <c r="DO34" s="174"/>
      <c r="DP34" s="174"/>
      <c r="DQ34" s="174"/>
      <c r="DR34" s="174"/>
      <c r="DS34" s="174"/>
      <c r="DT34" s="174"/>
      <c r="DU34" s="174"/>
      <c r="DV34" s="174"/>
      <c r="DW34" s="174"/>
      <c r="DX34" s="174"/>
      <c r="DY34" s="174"/>
    </row>
    <row r="35" spans="1:129" ht="12" customHeight="1" outlineLevel="1">
      <c r="A35" s="162"/>
      <c r="B35" s="162"/>
      <c r="C35" s="162">
        <v>2</v>
      </c>
      <c r="D35" s="163" t="s">
        <v>1657</v>
      </c>
      <c r="E35" s="164"/>
      <c r="F35" s="164" t="s">
        <v>1623</v>
      </c>
      <c r="G35" s="164"/>
      <c r="H35" s="164"/>
      <c r="I35" s="164"/>
      <c r="J35" s="164"/>
      <c r="K35" s="164"/>
      <c r="L35" s="164"/>
      <c r="M35" s="164"/>
      <c r="N35" s="164"/>
      <c r="O35" s="164"/>
      <c r="P35" s="165">
        <v>44130</v>
      </c>
      <c r="Q35" s="165">
        <v>44130</v>
      </c>
      <c r="R35" s="166"/>
      <c r="S35" s="167">
        <v>2</v>
      </c>
      <c r="T35" s="167">
        <v>2</v>
      </c>
      <c r="U35" s="167">
        <v>1</v>
      </c>
      <c r="V35" s="167">
        <v>1</v>
      </c>
      <c r="W35" s="165"/>
      <c r="X35" s="165"/>
      <c r="Y35" s="168"/>
      <c r="Z35" s="169">
        <v>0</v>
      </c>
      <c r="AA35" s="167"/>
      <c r="AB35" s="166" t="s">
        <v>1627</v>
      </c>
      <c r="AC35" s="170"/>
      <c r="AD35" s="171">
        <v>1</v>
      </c>
      <c r="AE35" s="172">
        <v>1</v>
      </c>
      <c r="AF35" s="173"/>
      <c r="AG35" s="174"/>
      <c r="AH35" s="174"/>
      <c r="AI35" s="174"/>
      <c r="AJ35" s="174"/>
      <c r="AK35" s="174"/>
      <c r="AL35" s="174"/>
      <c r="AM35" s="174"/>
      <c r="AN35" s="174"/>
      <c r="AO35" s="174"/>
      <c r="AP35" s="174"/>
      <c r="AQ35" s="174"/>
      <c r="AR35" s="174"/>
      <c r="AS35" s="174"/>
      <c r="AT35" s="174"/>
      <c r="AU35" s="174"/>
      <c r="AV35" s="174"/>
      <c r="AW35" s="174"/>
      <c r="AX35" s="174"/>
      <c r="AY35" s="174"/>
      <c r="AZ35" s="174"/>
      <c r="BA35" s="174"/>
      <c r="BB35" s="174"/>
      <c r="BC35" s="174"/>
      <c r="BD35" s="174"/>
      <c r="BE35" s="174"/>
      <c r="BF35" s="174"/>
      <c r="BG35" s="174"/>
      <c r="BH35" s="174"/>
      <c r="BI35" s="174"/>
      <c r="BJ35" s="174"/>
      <c r="BK35" s="174"/>
      <c r="BL35" s="174"/>
      <c r="BM35" s="174"/>
      <c r="BN35" s="174"/>
      <c r="BO35" s="174"/>
      <c r="BP35" s="174"/>
      <c r="BQ35" s="174"/>
      <c r="BR35" s="174"/>
      <c r="BS35" s="174"/>
      <c r="BT35" s="174"/>
      <c r="BU35" s="174"/>
      <c r="BV35" s="174"/>
      <c r="BW35" s="174"/>
      <c r="BX35" s="174"/>
      <c r="BY35" s="174"/>
      <c r="BZ35" s="174"/>
      <c r="CA35" s="174"/>
      <c r="CB35" s="174"/>
      <c r="CC35" s="174"/>
      <c r="CD35" s="174"/>
      <c r="CE35" s="174"/>
      <c r="CF35" s="174"/>
      <c r="CG35" s="174"/>
      <c r="CH35" s="174"/>
      <c r="CI35" s="174"/>
      <c r="CJ35" s="174"/>
      <c r="CK35" s="174"/>
      <c r="CL35" s="174" t="str">
        <f>"" &amp; TEXT(AE35,"#0.00%") &amp; " " &amp; "class diagram 작성" &amp; "(김민수, 조동현)" &amp; " " &amp; IF(P35="","",TEXT(P35,"M/D-")) &amp; IF(Q35="","",TEXT(Q35,"M/D")) &amp; " "</f>
        <v xml:space="preserve">100.00% class diagram 작성(김민수, 조동현) 10/26-10/26 </v>
      </c>
      <c r="CM35" s="174"/>
      <c r="CN35" s="174"/>
      <c r="CO35" s="174"/>
      <c r="CP35" s="174"/>
      <c r="CQ35" s="174"/>
      <c r="CR35" s="174"/>
      <c r="CS35" s="174"/>
      <c r="CT35" s="174"/>
      <c r="CU35" s="174"/>
      <c r="CV35" s="174"/>
      <c r="CW35" s="174"/>
      <c r="CX35" s="174"/>
      <c r="CY35" s="174"/>
      <c r="CZ35" s="174"/>
      <c r="DA35" s="174"/>
      <c r="DB35" s="174"/>
      <c r="DC35" s="174"/>
      <c r="DD35" s="174"/>
      <c r="DE35" s="174"/>
      <c r="DF35" s="174"/>
      <c r="DG35" s="174"/>
      <c r="DH35" s="174"/>
      <c r="DI35" s="174"/>
      <c r="DJ35" s="174"/>
      <c r="DK35" s="174"/>
      <c r="DL35" s="174"/>
      <c r="DM35" s="174"/>
      <c r="DN35" s="174"/>
      <c r="DO35" s="174"/>
      <c r="DP35" s="174"/>
      <c r="DQ35" s="174"/>
      <c r="DR35" s="174"/>
      <c r="DS35" s="174"/>
      <c r="DT35" s="174"/>
      <c r="DU35" s="174"/>
      <c r="DV35" s="174"/>
      <c r="DW35" s="174"/>
      <c r="DX35" s="174"/>
      <c r="DY35" s="174"/>
    </row>
    <row r="36" spans="1:129" ht="12" customHeight="1" outlineLevel="1">
      <c r="A36" s="162"/>
      <c r="B36" s="162"/>
      <c r="C36" s="162">
        <v>2</v>
      </c>
      <c r="D36" s="163" t="s">
        <v>1658</v>
      </c>
      <c r="E36" s="164"/>
      <c r="F36" s="164" t="s">
        <v>1624</v>
      </c>
      <c r="G36" s="164"/>
      <c r="H36" s="164"/>
      <c r="I36" s="164"/>
      <c r="J36" s="164"/>
      <c r="K36" s="164"/>
      <c r="L36" s="164"/>
      <c r="M36" s="164"/>
      <c r="N36" s="164"/>
      <c r="O36" s="164"/>
      <c r="P36" s="165">
        <v>44130</v>
      </c>
      <c r="Q36" s="165">
        <v>44130</v>
      </c>
      <c r="R36" s="166"/>
      <c r="S36" s="167">
        <v>1</v>
      </c>
      <c r="T36" s="167">
        <v>1</v>
      </c>
      <c r="U36" s="167">
        <v>1</v>
      </c>
      <c r="V36" s="167">
        <v>1</v>
      </c>
      <c r="W36" s="165"/>
      <c r="X36" s="165"/>
      <c r="Y36" s="168"/>
      <c r="Z36" s="169">
        <v>0</v>
      </c>
      <c r="AA36" s="167"/>
      <c r="AB36" s="166" t="s">
        <v>1628</v>
      </c>
      <c r="AC36" s="170"/>
      <c r="AD36" s="171">
        <v>1</v>
      </c>
      <c r="AE36" s="172">
        <v>1</v>
      </c>
      <c r="AF36" s="173"/>
      <c r="AG36" s="174"/>
      <c r="AH36" s="174"/>
      <c r="AI36" s="174"/>
      <c r="AJ36" s="174"/>
      <c r="AK36" s="174"/>
      <c r="AL36" s="174"/>
      <c r="AM36" s="174"/>
      <c r="AN36" s="174"/>
      <c r="AO36" s="174"/>
      <c r="AP36" s="174"/>
      <c r="AQ36" s="174"/>
      <c r="AR36" s="174"/>
      <c r="AS36" s="174"/>
      <c r="AT36" s="174"/>
      <c r="AU36" s="174"/>
      <c r="AV36" s="174"/>
      <c r="AW36" s="174"/>
      <c r="AX36" s="174"/>
      <c r="AY36" s="174"/>
      <c r="AZ36" s="174"/>
      <c r="BA36" s="174"/>
      <c r="BB36" s="174"/>
      <c r="BC36" s="174"/>
      <c r="BD36" s="174"/>
      <c r="BE36" s="174"/>
      <c r="BF36" s="174"/>
      <c r="BG36" s="174"/>
      <c r="BH36" s="174"/>
      <c r="BI36" s="174"/>
      <c r="BJ36" s="174"/>
      <c r="BK36" s="174"/>
      <c r="BL36" s="174"/>
      <c r="BM36" s="174"/>
      <c r="BN36" s="174"/>
      <c r="BO36" s="174"/>
      <c r="BP36" s="174"/>
      <c r="BQ36" s="174"/>
      <c r="BR36" s="174"/>
      <c r="BS36" s="174"/>
      <c r="BT36" s="174"/>
      <c r="BU36" s="174"/>
      <c r="BV36" s="174"/>
      <c r="BW36" s="174"/>
      <c r="BX36" s="174"/>
      <c r="BY36" s="174"/>
      <c r="BZ36" s="174"/>
      <c r="CA36" s="174"/>
      <c r="CB36" s="174"/>
      <c r="CC36" s="174"/>
      <c r="CD36" s="174"/>
      <c r="CE36" s="174"/>
      <c r="CF36" s="174"/>
      <c r="CG36" s="174"/>
      <c r="CH36" s="174"/>
      <c r="CI36" s="174"/>
      <c r="CJ36" s="174"/>
      <c r="CK36" s="174"/>
      <c r="CL36" s="174" t="str">
        <f>"" &amp; TEXT(AE36,"#0.00%") &amp; " " &amp; "object diagram 작성" &amp; "(박지민)" &amp; " " &amp; IF(P36="","",TEXT(P36,"M/D-")) &amp; IF(Q36="","",TEXT(Q36,"M/D")) &amp; " "</f>
        <v xml:space="preserve">100.00% object diagram 작성(박지민) 10/26-10/26 </v>
      </c>
      <c r="CM36" s="174"/>
      <c r="CN36" s="174"/>
      <c r="CO36" s="174"/>
      <c r="CP36" s="174"/>
      <c r="CQ36" s="174"/>
      <c r="CR36" s="174"/>
      <c r="CS36" s="174"/>
      <c r="CT36" s="174"/>
      <c r="CU36" s="174"/>
      <c r="CV36" s="174"/>
      <c r="CW36" s="174"/>
      <c r="CX36" s="174"/>
      <c r="CY36" s="174"/>
      <c r="CZ36" s="174"/>
      <c r="DA36" s="174"/>
      <c r="DB36" s="174"/>
      <c r="DC36" s="174"/>
      <c r="DD36" s="174"/>
      <c r="DE36" s="174"/>
      <c r="DF36" s="174"/>
      <c r="DG36" s="174"/>
      <c r="DH36" s="174"/>
      <c r="DI36" s="174"/>
      <c r="DJ36" s="174"/>
      <c r="DK36" s="174"/>
      <c r="DL36" s="174"/>
      <c r="DM36" s="174"/>
      <c r="DN36" s="174"/>
      <c r="DO36" s="174"/>
      <c r="DP36" s="174"/>
      <c r="DQ36" s="174"/>
      <c r="DR36" s="174"/>
      <c r="DS36" s="174"/>
      <c r="DT36" s="174"/>
      <c r="DU36" s="174"/>
      <c r="DV36" s="174"/>
      <c r="DW36" s="174"/>
      <c r="DX36" s="174"/>
      <c r="DY36" s="174"/>
    </row>
    <row r="37" spans="1:129" ht="12" customHeight="1" outlineLevel="1">
      <c r="A37" s="162"/>
      <c r="B37" s="162"/>
      <c r="C37" s="162">
        <v>2</v>
      </c>
      <c r="D37" s="163" t="s">
        <v>1659</v>
      </c>
      <c r="E37" s="164"/>
      <c r="F37" s="164" t="s">
        <v>1625</v>
      </c>
      <c r="G37" s="164"/>
      <c r="H37" s="164"/>
      <c r="I37" s="164"/>
      <c r="J37" s="164"/>
      <c r="K37" s="164"/>
      <c r="L37" s="164"/>
      <c r="M37" s="164"/>
      <c r="N37" s="164"/>
      <c r="O37" s="164"/>
      <c r="P37" s="165">
        <v>44130</v>
      </c>
      <c r="Q37" s="165">
        <v>44130</v>
      </c>
      <c r="R37" s="166"/>
      <c r="S37" s="167">
        <v>1</v>
      </c>
      <c r="T37" s="167">
        <v>1</v>
      </c>
      <c r="U37" s="167">
        <v>1</v>
      </c>
      <c r="V37" s="167">
        <v>1</v>
      </c>
      <c r="W37" s="165"/>
      <c r="X37" s="165"/>
      <c r="Y37" s="168"/>
      <c r="Z37" s="169">
        <v>0</v>
      </c>
      <c r="AA37" s="167"/>
      <c r="AB37" s="166" t="s">
        <v>1629</v>
      </c>
      <c r="AC37" s="170"/>
      <c r="AD37" s="171">
        <v>1</v>
      </c>
      <c r="AE37" s="172">
        <v>1</v>
      </c>
      <c r="AF37" s="173"/>
      <c r="AG37" s="174"/>
      <c r="AH37" s="174"/>
      <c r="AI37" s="174"/>
      <c r="AJ37" s="174"/>
      <c r="AK37" s="174"/>
      <c r="AL37" s="174"/>
      <c r="AM37" s="174"/>
      <c r="AN37" s="174"/>
      <c r="AO37" s="174"/>
      <c r="AP37" s="174"/>
      <c r="AQ37" s="174"/>
      <c r="AR37" s="174"/>
      <c r="AS37" s="174"/>
      <c r="AT37" s="174"/>
      <c r="AU37" s="174"/>
      <c r="AV37" s="174"/>
      <c r="AW37" s="174"/>
      <c r="AX37" s="174"/>
      <c r="AY37" s="174"/>
      <c r="AZ37" s="174"/>
      <c r="BA37" s="174"/>
      <c r="BB37" s="174"/>
      <c r="BC37" s="174"/>
      <c r="BD37" s="174"/>
      <c r="BE37" s="174"/>
      <c r="BF37" s="174"/>
      <c r="BG37" s="174"/>
      <c r="BH37" s="174"/>
      <c r="BI37" s="174"/>
      <c r="BJ37" s="174"/>
      <c r="BK37" s="174"/>
      <c r="BL37" s="174"/>
      <c r="BM37" s="174"/>
      <c r="BN37" s="174"/>
      <c r="BO37" s="174"/>
      <c r="BP37" s="174"/>
      <c r="BQ37" s="174"/>
      <c r="BR37" s="174"/>
      <c r="BS37" s="174"/>
      <c r="BT37" s="174"/>
      <c r="BU37" s="174"/>
      <c r="BV37" s="174"/>
      <c r="BW37" s="174"/>
      <c r="BX37" s="174"/>
      <c r="BY37" s="174"/>
      <c r="BZ37" s="174"/>
      <c r="CA37" s="174"/>
      <c r="CB37" s="174"/>
      <c r="CC37" s="174"/>
      <c r="CD37" s="174"/>
      <c r="CE37" s="174"/>
      <c r="CF37" s="174"/>
      <c r="CG37" s="174"/>
      <c r="CH37" s="174"/>
      <c r="CI37" s="174"/>
      <c r="CJ37" s="174"/>
      <c r="CK37" s="174"/>
      <c r="CL37" s="174" t="str">
        <f>"" &amp; TEXT(AE37,"#0.00%") &amp; " " &amp; "squence diagram 작성" &amp; "(남인우)" &amp; " " &amp; IF(P37="","",TEXT(P37,"M/D-")) &amp; IF(Q37="","",TEXT(Q37,"M/D")) &amp; " "</f>
        <v xml:space="preserve">100.00% squence diagram 작성(남인우) 10/26-10/26 </v>
      </c>
      <c r="CM37" s="174"/>
      <c r="CN37" s="174"/>
      <c r="CO37" s="174"/>
      <c r="CP37" s="174"/>
      <c r="CQ37" s="174"/>
      <c r="CR37" s="174"/>
      <c r="CS37" s="174"/>
      <c r="CT37" s="174"/>
      <c r="CU37" s="174"/>
      <c r="CV37" s="174"/>
      <c r="CW37" s="174"/>
      <c r="CX37" s="174"/>
      <c r="CY37" s="174"/>
      <c r="CZ37" s="174"/>
      <c r="DA37" s="174"/>
      <c r="DB37" s="174"/>
      <c r="DC37" s="174"/>
      <c r="DD37" s="174"/>
      <c r="DE37" s="174"/>
      <c r="DF37" s="174"/>
      <c r="DG37" s="174"/>
      <c r="DH37" s="174"/>
      <c r="DI37" s="174"/>
      <c r="DJ37" s="174"/>
      <c r="DK37" s="174"/>
      <c r="DL37" s="174"/>
      <c r="DM37" s="174"/>
      <c r="DN37" s="174"/>
      <c r="DO37" s="174"/>
      <c r="DP37" s="174"/>
      <c r="DQ37" s="174"/>
      <c r="DR37" s="174"/>
      <c r="DS37" s="174"/>
      <c r="DT37" s="174"/>
      <c r="DU37" s="174"/>
      <c r="DV37" s="174"/>
      <c r="DW37" s="174"/>
      <c r="DX37" s="174"/>
      <c r="DY37" s="174"/>
    </row>
    <row r="38" spans="1:129" ht="12" customHeight="1" outlineLevel="1">
      <c r="A38" s="162"/>
      <c r="B38" s="162"/>
      <c r="C38" s="162">
        <v>2</v>
      </c>
      <c r="D38" s="163" t="s">
        <v>1660</v>
      </c>
      <c r="E38" s="164"/>
      <c r="F38" s="164" t="s">
        <v>1626</v>
      </c>
      <c r="G38" s="164"/>
      <c r="H38" s="164"/>
      <c r="I38" s="164"/>
      <c r="J38" s="164"/>
      <c r="K38" s="164"/>
      <c r="L38" s="164"/>
      <c r="M38" s="164"/>
      <c r="N38" s="164"/>
      <c r="O38" s="164"/>
      <c r="P38" s="165">
        <v>44130</v>
      </c>
      <c r="Q38" s="165">
        <v>44130</v>
      </c>
      <c r="R38" s="166"/>
      <c r="S38" s="167">
        <v>1</v>
      </c>
      <c r="T38" s="167">
        <v>1</v>
      </c>
      <c r="U38" s="167">
        <v>1</v>
      </c>
      <c r="V38" s="167">
        <v>1</v>
      </c>
      <c r="W38" s="165"/>
      <c r="X38" s="165"/>
      <c r="Y38" s="168"/>
      <c r="Z38" s="169">
        <v>0</v>
      </c>
      <c r="AA38" s="167"/>
      <c r="AB38" s="166" t="s">
        <v>1628</v>
      </c>
      <c r="AC38" s="170"/>
      <c r="AD38" s="171">
        <v>1</v>
      </c>
      <c r="AE38" s="172">
        <v>1</v>
      </c>
      <c r="AF38" s="173"/>
      <c r="AG38" s="174"/>
      <c r="AH38" s="174"/>
      <c r="AI38" s="174"/>
      <c r="AJ38" s="174"/>
      <c r="AK38" s="174"/>
      <c r="AL38" s="174"/>
      <c r="AM38" s="174"/>
      <c r="AN38" s="174"/>
      <c r="AO38" s="174"/>
      <c r="AP38" s="174"/>
      <c r="AQ38" s="174"/>
      <c r="AR38" s="174"/>
      <c r="AS38" s="174"/>
      <c r="AT38" s="174"/>
      <c r="AU38" s="174"/>
      <c r="AV38" s="174"/>
      <c r="AW38" s="174"/>
      <c r="AX38" s="174"/>
      <c r="AY38" s="174"/>
      <c r="AZ38" s="174"/>
      <c r="BA38" s="174"/>
      <c r="BB38" s="174"/>
      <c r="BC38" s="174"/>
      <c r="BD38" s="174"/>
      <c r="BE38" s="174"/>
      <c r="BF38" s="174"/>
      <c r="BG38" s="174"/>
      <c r="BH38" s="174"/>
      <c r="BI38" s="174"/>
      <c r="BJ38" s="174"/>
      <c r="BK38" s="174"/>
      <c r="BL38" s="174"/>
      <c r="BM38" s="174"/>
      <c r="BN38" s="174"/>
      <c r="BO38" s="174"/>
      <c r="BP38" s="174"/>
      <c r="BQ38" s="174"/>
      <c r="BR38" s="174"/>
      <c r="BS38" s="174"/>
      <c r="BT38" s="174"/>
      <c r="BU38" s="174"/>
      <c r="BV38" s="174"/>
      <c r="BW38" s="174"/>
      <c r="BX38" s="174"/>
      <c r="BY38" s="174"/>
      <c r="BZ38" s="174"/>
      <c r="CA38" s="174"/>
      <c r="CB38" s="174"/>
      <c r="CC38" s="174"/>
      <c r="CD38" s="174"/>
      <c r="CE38" s="174"/>
      <c r="CF38" s="174"/>
      <c r="CG38" s="174"/>
      <c r="CH38" s="174"/>
      <c r="CI38" s="174"/>
      <c r="CJ38" s="174"/>
      <c r="CK38" s="174"/>
      <c r="CL38" s="174" t="str">
        <f>"" &amp; TEXT(AE38,"#0.00%") &amp; " " &amp; "state machine diagram 작성" &amp; "(박지민)" &amp; " " &amp; IF(P38="","",TEXT(P38,"M/D-")) &amp; IF(Q38="","",TEXT(Q38,"M/D")) &amp; " "</f>
        <v xml:space="preserve">100.00% state machine diagram 작성(박지민) 10/26-10/26 </v>
      </c>
      <c r="CM38" s="174"/>
      <c r="CN38" s="174"/>
      <c r="CO38" s="174"/>
      <c r="CP38" s="174"/>
      <c r="CQ38" s="174"/>
      <c r="CR38" s="174"/>
      <c r="CS38" s="174"/>
      <c r="CT38" s="174"/>
      <c r="CU38" s="174"/>
      <c r="CV38" s="174"/>
      <c r="CW38" s="174"/>
      <c r="CX38" s="174"/>
      <c r="CY38" s="174"/>
      <c r="CZ38" s="174"/>
      <c r="DA38" s="174"/>
      <c r="DB38" s="174"/>
      <c r="DC38" s="174"/>
      <c r="DD38" s="174"/>
      <c r="DE38" s="174"/>
      <c r="DF38" s="174"/>
      <c r="DG38" s="174"/>
      <c r="DH38" s="174"/>
      <c r="DI38" s="174"/>
      <c r="DJ38" s="174"/>
      <c r="DK38" s="174"/>
      <c r="DL38" s="174"/>
      <c r="DM38" s="174"/>
      <c r="DN38" s="174"/>
      <c r="DO38" s="174"/>
      <c r="DP38" s="174"/>
      <c r="DQ38" s="174"/>
      <c r="DR38" s="174"/>
      <c r="DS38" s="174"/>
      <c r="DT38" s="174"/>
      <c r="DU38" s="174"/>
      <c r="DV38" s="174"/>
      <c r="DW38" s="174"/>
      <c r="DX38" s="174"/>
      <c r="DY38" s="174"/>
    </row>
    <row r="39" spans="1:129" ht="12" customHeight="1" outlineLevel="1">
      <c r="A39" s="162"/>
      <c r="B39" s="162"/>
      <c r="C39" s="162">
        <v>2</v>
      </c>
      <c r="D39" s="163" t="s">
        <v>1661</v>
      </c>
      <c r="E39" s="164"/>
      <c r="F39" s="164" t="s">
        <v>1631</v>
      </c>
      <c r="G39" s="164"/>
      <c r="H39" s="164"/>
      <c r="I39" s="164"/>
      <c r="J39" s="164"/>
      <c r="K39" s="164"/>
      <c r="L39" s="164"/>
      <c r="M39" s="164"/>
      <c r="N39" s="164"/>
      <c r="O39" s="164"/>
      <c r="P39" s="165">
        <v>44131</v>
      </c>
      <c r="Q39" s="165">
        <v>44144</v>
      </c>
      <c r="R39" s="166"/>
      <c r="S39" s="167">
        <v>10</v>
      </c>
      <c r="T39" s="167">
        <v>10</v>
      </c>
      <c r="U39" s="167">
        <v>10</v>
      </c>
      <c r="V39" s="167">
        <v>10</v>
      </c>
      <c r="W39" s="165"/>
      <c r="X39" s="165"/>
      <c r="Y39" s="168"/>
      <c r="Z39" s="169">
        <v>0</v>
      </c>
      <c r="AA39" s="167"/>
      <c r="AB39" s="166"/>
      <c r="AC39" s="170"/>
      <c r="AD39" s="171">
        <v>1</v>
      </c>
      <c r="AE39" s="172">
        <v>0</v>
      </c>
      <c r="AF39" s="173"/>
      <c r="AG39" s="174"/>
      <c r="AH39" s="174"/>
      <c r="AI39" s="174"/>
      <c r="AJ39" s="174"/>
      <c r="AK39" s="174"/>
      <c r="AL39" s="174"/>
      <c r="AM39" s="174"/>
      <c r="AN39" s="174"/>
      <c r="AO39" s="174"/>
      <c r="AP39" s="174"/>
      <c r="AQ39" s="174"/>
      <c r="AR39" s="174"/>
      <c r="AS39" s="174"/>
      <c r="AT39" s="174"/>
      <c r="AU39" s="174"/>
      <c r="AV39" s="174"/>
      <c r="AW39" s="174"/>
      <c r="AX39" s="174"/>
      <c r="AY39" s="174"/>
      <c r="AZ39" s="174"/>
      <c r="BA39" s="174"/>
      <c r="BB39" s="174"/>
      <c r="BC39" s="174"/>
      <c r="BD39" s="174"/>
      <c r="BE39" s="174"/>
      <c r="BF39" s="174"/>
      <c r="BG39" s="174"/>
      <c r="BH39" s="174"/>
      <c r="BI39" s="174"/>
      <c r="BJ39" s="174"/>
      <c r="BK39" s="174"/>
      <c r="BL39" s="174"/>
      <c r="BM39" s="174"/>
      <c r="BN39" s="174"/>
      <c r="BO39" s="174"/>
      <c r="BP39" s="174"/>
      <c r="BQ39" s="174"/>
      <c r="BR39" s="174"/>
      <c r="BS39" s="174"/>
      <c r="BT39" s="174"/>
      <c r="BU39" s="174"/>
      <c r="BV39" s="174"/>
      <c r="BW39" s="174"/>
      <c r="BX39" s="174"/>
      <c r="BY39" s="174"/>
      <c r="BZ39" s="174"/>
      <c r="CA39" s="174"/>
      <c r="CB39" s="174"/>
      <c r="CC39" s="174"/>
      <c r="CD39" s="174"/>
      <c r="CE39" s="174"/>
      <c r="CF39" s="174"/>
      <c r="CG39" s="174"/>
      <c r="CH39" s="174"/>
      <c r="CI39" s="174"/>
      <c r="CJ39" s="174"/>
      <c r="CK39" s="174"/>
      <c r="CL39" s="174" t="str">
        <f>"" &amp; TEXT(AE39,"#0.00%") &amp; " "</f>
        <v xml:space="preserve">0.00% </v>
      </c>
      <c r="CM39" s="174"/>
      <c r="CN39" s="174"/>
      <c r="CO39" s="174"/>
      <c r="CP39" s="174"/>
      <c r="CQ39" s="174"/>
      <c r="CR39" s="174"/>
      <c r="CS39" s="174"/>
      <c r="CT39" s="174"/>
      <c r="CU39" s="174"/>
      <c r="CV39" s="174"/>
      <c r="CW39" s="174"/>
      <c r="CX39" s="174"/>
      <c r="CY39" s="174"/>
      <c r="CZ39" s="174" t="str">
        <f>"" &amp; "3차 회의전까지 파이썬 공부" &amp; " " &amp; IF(P39="","",TEXT(P39,"M/D-")) &amp; IF(Q39="","",TEXT(Q39,"M/D")) &amp; " "</f>
        <v xml:space="preserve">3차 회의전까지 파이썬 공부 10/27-11/9 </v>
      </c>
      <c r="DA39" s="174"/>
      <c r="DB39" s="174"/>
      <c r="DC39" s="174"/>
      <c r="DD39" s="174"/>
      <c r="DE39" s="174"/>
      <c r="DF39" s="174"/>
      <c r="DG39" s="174"/>
      <c r="DH39" s="174"/>
      <c r="DI39" s="174"/>
      <c r="DJ39" s="174"/>
      <c r="DK39" s="174"/>
      <c r="DL39" s="174"/>
      <c r="DM39" s="174"/>
      <c r="DN39" s="174"/>
      <c r="DO39" s="174"/>
      <c r="DP39" s="174"/>
      <c r="DQ39" s="174"/>
      <c r="DR39" s="174"/>
      <c r="DS39" s="174"/>
      <c r="DT39" s="174"/>
      <c r="DU39" s="174"/>
      <c r="DV39" s="174"/>
      <c r="DW39" s="174"/>
      <c r="DX39" s="174"/>
      <c r="DY39" s="174"/>
    </row>
    <row r="40" spans="1:129" ht="12" customHeight="1">
      <c r="A40" s="162"/>
      <c r="B40" s="162" t="s">
        <v>1437</v>
      </c>
      <c r="C40" s="162">
        <v>1</v>
      </c>
      <c r="D40" s="163" t="s">
        <v>1120</v>
      </c>
      <c r="E40" s="164" t="s">
        <v>1632</v>
      </c>
      <c r="F40" s="164"/>
      <c r="G40" s="164"/>
      <c r="H40" s="164"/>
      <c r="I40" s="164"/>
      <c r="J40" s="164"/>
      <c r="K40" s="164"/>
      <c r="L40" s="164"/>
      <c r="M40" s="164"/>
      <c r="N40" s="164"/>
      <c r="O40" s="164"/>
      <c r="P40" s="165">
        <v>44144</v>
      </c>
      <c r="Q40" s="165">
        <v>44156</v>
      </c>
      <c r="R40" s="166"/>
      <c r="S40" s="167">
        <v>41</v>
      </c>
      <c r="T40" s="167">
        <v>5</v>
      </c>
      <c r="U40" s="167">
        <v>10</v>
      </c>
      <c r="V40" s="167">
        <v>1</v>
      </c>
      <c r="W40" s="165"/>
      <c r="X40" s="165"/>
      <c r="Y40" s="168">
        <v>0</v>
      </c>
      <c r="Z40" s="169">
        <v>0</v>
      </c>
      <c r="AA40" s="167"/>
      <c r="AB40" s="166"/>
      <c r="AC40" s="170"/>
      <c r="AD40" s="171">
        <v>0.12195121951219512</v>
      </c>
      <c r="AE40" s="172">
        <v>9.7560975609756101E-2</v>
      </c>
      <c r="AF40" s="173"/>
      <c r="AG40" s="174"/>
      <c r="AH40" s="174"/>
      <c r="AI40" s="174"/>
      <c r="AJ40" s="174"/>
      <c r="AK40" s="174"/>
      <c r="AL40" s="174"/>
      <c r="AM40" s="174"/>
      <c r="AN40" s="174"/>
      <c r="AO40" s="174"/>
      <c r="AP40" s="174"/>
      <c r="AQ40" s="174"/>
      <c r="AR40" s="174"/>
      <c r="AS40" s="174"/>
      <c r="AT40" s="174"/>
      <c r="AU40" s="174"/>
      <c r="AV40" s="174"/>
      <c r="AW40" s="174"/>
      <c r="AX40" s="174"/>
      <c r="AY40" s="174"/>
      <c r="AZ40" s="174"/>
      <c r="BA40" s="174"/>
      <c r="BB40" s="174"/>
      <c r="BC40" s="174"/>
      <c r="BD40" s="174"/>
      <c r="BE40" s="174"/>
      <c r="BF40" s="174"/>
      <c r="BG40" s="174"/>
      <c r="BH40" s="174"/>
      <c r="BI40" s="174"/>
      <c r="BJ40" s="174"/>
      <c r="BK40" s="174"/>
      <c r="BL40" s="174"/>
      <c r="BM40" s="174"/>
      <c r="BN40" s="174"/>
      <c r="BO40" s="174"/>
      <c r="BP40" s="174"/>
      <c r="BQ40" s="174"/>
      <c r="BR40" s="174"/>
      <c r="BS40" s="174"/>
      <c r="BT40" s="174"/>
      <c r="BU40" s="174"/>
      <c r="BV40" s="174"/>
      <c r="BW40" s="174"/>
      <c r="BX40" s="174"/>
      <c r="BY40" s="174"/>
      <c r="BZ40" s="174"/>
      <c r="CA40" s="174"/>
      <c r="CB40" s="174"/>
      <c r="CC40" s="174"/>
      <c r="CD40" s="174"/>
      <c r="CE40" s="174"/>
      <c r="CF40" s="174"/>
      <c r="CG40" s="174"/>
      <c r="CH40" s="174"/>
      <c r="CI40" s="174"/>
      <c r="CJ40" s="174"/>
      <c r="CK40" s="174"/>
      <c r="CL40" s="174"/>
      <c r="CM40" s="174"/>
      <c r="CN40" s="174"/>
      <c r="CO40" s="174"/>
      <c r="CP40" s="174"/>
      <c r="CQ40" s="174"/>
      <c r="CR40" s="174"/>
      <c r="CS40" s="174"/>
      <c r="CT40" s="174"/>
      <c r="CU40" s="174"/>
      <c r="CV40" s="174"/>
      <c r="CW40" s="174"/>
      <c r="CX40" s="174"/>
      <c r="CY40" s="174"/>
      <c r="CZ40" s="174" t="str">
        <f>"" &amp; TEXT(AE40,"#0.00%") &amp; " "</f>
        <v xml:space="preserve">9.76% </v>
      </c>
      <c r="DA40" s="174"/>
      <c r="DB40" s="174"/>
      <c r="DC40" s="174"/>
      <c r="DD40" s="174"/>
      <c r="DE40" s="174"/>
      <c r="DF40" s="174"/>
      <c r="DG40" s="174"/>
      <c r="DH40" s="174"/>
      <c r="DI40" s="174"/>
      <c r="DJ40" s="174"/>
      <c r="DK40" s="174"/>
      <c r="DL40" s="174" t="str">
        <f>"" &amp; "3차 회의" &amp; " " &amp; IF(P40="","",TEXT(P40,"M/D-")) &amp; IF(Q40="","",TEXT(Q40,"M/D")) &amp; " "</f>
        <v xml:space="preserve">3차 회의 11/9-11/21 </v>
      </c>
      <c r="DM40" s="174"/>
      <c r="DN40" s="174"/>
      <c r="DO40" s="174"/>
      <c r="DP40" s="174"/>
      <c r="DQ40" s="174"/>
      <c r="DR40" s="174"/>
      <c r="DS40" s="174"/>
      <c r="DT40" s="174"/>
      <c r="DU40" s="174"/>
      <c r="DV40" s="174"/>
      <c r="DW40" s="174"/>
      <c r="DX40" s="174"/>
      <c r="DY40" s="174"/>
    </row>
    <row r="41" spans="1:129" ht="12" customHeight="1" outlineLevel="1">
      <c r="A41" s="162"/>
      <c r="B41" s="162"/>
      <c r="C41" s="162">
        <v>2</v>
      </c>
      <c r="D41" s="163" t="s">
        <v>1662</v>
      </c>
      <c r="E41" s="164"/>
      <c r="F41" s="164" t="s">
        <v>1633</v>
      </c>
      <c r="G41" s="164"/>
      <c r="H41" s="164"/>
      <c r="I41" s="164"/>
      <c r="J41" s="164"/>
      <c r="K41" s="164"/>
      <c r="L41" s="164"/>
      <c r="M41" s="164"/>
      <c r="N41" s="164"/>
      <c r="O41" s="164"/>
      <c r="P41" s="165">
        <v>44144</v>
      </c>
      <c r="Q41" s="165">
        <v>44144</v>
      </c>
      <c r="R41" s="166"/>
      <c r="S41" s="167">
        <v>1</v>
      </c>
      <c r="T41" s="167">
        <v>1</v>
      </c>
      <c r="U41" s="167">
        <v>1</v>
      </c>
      <c r="V41" s="167">
        <v>1</v>
      </c>
      <c r="W41" s="165"/>
      <c r="X41" s="165"/>
      <c r="Y41" s="168"/>
      <c r="Z41" s="169">
        <v>0</v>
      </c>
      <c r="AA41" s="167"/>
      <c r="AB41" s="166" t="s">
        <v>1619</v>
      </c>
      <c r="AC41" s="170"/>
      <c r="AD41" s="171">
        <v>1</v>
      </c>
      <c r="AE41" s="172">
        <v>1</v>
      </c>
      <c r="AF41" s="173"/>
      <c r="AG41" s="174"/>
      <c r="AH41" s="174"/>
      <c r="AI41" s="174"/>
      <c r="AJ41" s="174"/>
      <c r="AK41" s="174"/>
      <c r="AL41" s="174"/>
      <c r="AM41" s="174"/>
      <c r="AN41" s="174"/>
      <c r="AO41" s="174"/>
      <c r="AP41" s="174"/>
      <c r="AQ41" s="174"/>
      <c r="AR41" s="174"/>
      <c r="AS41" s="174"/>
      <c r="AT41" s="174"/>
      <c r="AU41" s="174"/>
      <c r="AV41" s="174"/>
      <c r="AW41" s="174"/>
      <c r="AX41" s="174"/>
      <c r="AY41" s="174"/>
      <c r="AZ41" s="174"/>
      <c r="BA41" s="174"/>
      <c r="BB41" s="174"/>
      <c r="BC41" s="174"/>
      <c r="BD41" s="174"/>
      <c r="BE41" s="174"/>
      <c r="BF41" s="174"/>
      <c r="BG41" s="174"/>
      <c r="BH41" s="174"/>
      <c r="BI41" s="174"/>
      <c r="BJ41" s="174"/>
      <c r="BK41" s="174"/>
      <c r="BL41" s="174"/>
      <c r="BM41" s="174"/>
      <c r="BN41" s="174"/>
      <c r="BO41" s="174"/>
      <c r="BP41" s="174"/>
      <c r="BQ41" s="174"/>
      <c r="BR41" s="174"/>
      <c r="BS41" s="174"/>
      <c r="BT41" s="174"/>
      <c r="BU41" s="174"/>
      <c r="BV41" s="174"/>
      <c r="BW41" s="174"/>
      <c r="BX41" s="174"/>
      <c r="BY41" s="174"/>
      <c r="BZ41" s="174"/>
      <c r="CA41" s="174"/>
      <c r="CB41" s="174"/>
      <c r="CC41" s="174"/>
      <c r="CD41" s="174"/>
      <c r="CE41" s="174"/>
      <c r="CF41" s="174"/>
      <c r="CG41" s="174"/>
      <c r="CH41" s="174"/>
      <c r="CI41" s="174"/>
      <c r="CJ41" s="174"/>
      <c r="CK41" s="174"/>
      <c r="CL41" s="174"/>
      <c r="CM41" s="174"/>
      <c r="CN41" s="174"/>
      <c r="CO41" s="174"/>
      <c r="CP41" s="174"/>
      <c r="CQ41" s="174"/>
      <c r="CR41" s="174"/>
      <c r="CS41" s="174"/>
      <c r="CT41" s="174"/>
      <c r="CU41" s="174"/>
      <c r="CV41" s="174"/>
      <c r="CW41" s="174"/>
      <c r="CX41" s="174"/>
      <c r="CY41" s="174"/>
      <c r="CZ41" s="174" t="str">
        <f>"" &amp; TEXT(AE41,"#0.00%") &amp; " " &amp; "Partitioning from Class Diagram 작성" &amp; "(조동현)" &amp; " " &amp; IF(P41="","",TEXT(P41,"M/D-")) &amp; IF(Q41="","",TEXT(Q41,"M/D")) &amp; " "</f>
        <v xml:space="preserve">100.00% Partitioning from Class Diagram 작성(조동현) 11/9-11/9 </v>
      </c>
      <c r="DA41" s="174"/>
      <c r="DB41" s="174"/>
      <c r="DC41" s="174"/>
      <c r="DD41" s="174"/>
      <c r="DE41" s="174"/>
      <c r="DF41" s="174"/>
      <c r="DG41" s="174"/>
      <c r="DH41" s="174"/>
      <c r="DI41" s="174"/>
      <c r="DJ41" s="174"/>
      <c r="DK41" s="174"/>
      <c r="DL41" s="174"/>
      <c r="DM41" s="174"/>
      <c r="DN41" s="174"/>
      <c r="DO41" s="174"/>
      <c r="DP41" s="174"/>
      <c r="DQ41" s="174"/>
      <c r="DR41" s="174"/>
      <c r="DS41" s="174"/>
      <c r="DT41" s="174"/>
      <c r="DU41" s="174"/>
      <c r="DV41" s="174"/>
      <c r="DW41" s="174"/>
      <c r="DX41" s="174"/>
      <c r="DY41" s="174"/>
    </row>
    <row r="42" spans="1:129" ht="12" customHeight="1" outlineLevel="1">
      <c r="A42" s="162"/>
      <c r="B42" s="162"/>
      <c r="C42" s="162">
        <v>2</v>
      </c>
      <c r="D42" s="163" t="s">
        <v>1663</v>
      </c>
      <c r="E42" s="164"/>
      <c r="F42" s="164" t="s">
        <v>1634</v>
      </c>
      <c r="G42" s="164"/>
      <c r="H42" s="164"/>
      <c r="I42" s="164"/>
      <c r="J42" s="164"/>
      <c r="K42" s="164"/>
      <c r="L42" s="164"/>
      <c r="M42" s="164"/>
      <c r="N42" s="164"/>
      <c r="O42" s="164"/>
      <c r="P42" s="165">
        <v>44144</v>
      </c>
      <c r="Q42" s="165">
        <v>44144</v>
      </c>
      <c r="R42" s="166"/>
      <c r="S42" s="167">
        <v>1</v>
      </c>
      <c r="T42" s="167">
        <v>1</v>
      </c>
      <c r="U42" s="167">
        <v>1</v>
      </c>
      <c r="V42" s="167">
        <v>1</v>
      </c>
      <c r="W42" s="165"/>
      <c r="X42" s="165"/>
      <c r="Y42" s="168"/>
      <c r="Z42" s="169">
        <v>0</v>
      </c>
      <c r="AA42" s="167"/>
      <c r="AB42" s="166" t="s">
        <v>1628</v>
      </c>
      <c r="AC42" s="170"/>
      <c r="AD42" s="171">
        <v>1</v>
      </c>
      <c r="AE42" s="172">
        <v>1</v>
      </c>
      <c r="AF42" s="173"/>
      <c r="AG42" s="174"/>
      <c r="AH42" s="174"/>
      <c r="AI42" s="174"/>
      <c r="AJ42" s="174"/>
      <c r="AK42" s="174"/>
      <c r="AL42" s="174"/>
      <c r="AM42" s="174"/>
      <c r="AN42" s="174"/>
      <c r="AO42" s="174"/>
      <c r="AP42" s="174"/>
      <c r="AQ42" s="174"/>
      <c r="AR42" s="174"/>
      <c r="AS42" s="174"/>
      <c r="AT42" s="174"/>
      <c r="AU42" s="174"/>
      <c r="AV42" s="174"/>
      <c r="AW42" s="174"/>
      <c r="AX42" s="174"/>
      <c r="AY42" s="174"/>
      <c r="AZ42" s="174"/>
      <c r="BA42" s="174"/>
      <c r="BB42" s="174"/>
      <c r="BC42" s="174"/>
      <c r="BD42" s="174"/>
      <c r="BE42" s="174"/>
      <c r="BF42" s="174"/>
      <c r="BG42" s="174"/>
      <c r="BH42" s="174"/>
      <c r="BI42" s="174"/>
      <c r="BJ42" s="174"/>
      <c r="BK42" s="174"/>
      <c r="BL42" s="174"/>
      <c r="BM42" s="174"/>
      <c r="BN42" s="174"/>
      <c r="BO42" s="174"/>
      <c r="BP42" s="174"/>
      <c r="BQ42" s="174"/>
      <c r="BR42" s="174"/>
      <c r="BS42" s="174"/>
      <c r="BT42" s="174"/>
      <c r="BU42" s="174"/>
      <c r="BV42" s="174"/>
      <c r="BW42" s="174"/>
      <c r="BX42" s="174"/>
      <c r="BY42" s="174"/>
      <c r="BZ42" s="174"/>
      <c r="CA42" s="174"/>
      <c r="CB42" s="174"/>
      <c r="CC42" s="174"/>
      <c r="CD42" s="174"/>
      <c r="CE42" s="174"/>
      <c r="CF42" s="174"/>
      <c r="CG42" s="174"/>
      <c r="CH42" s="174"/>
      <c r="CI42" s="174"/>
      <c r="CJ42" s="174"/>
      <c r="CK42" s="174"/>
      <c r="CL42" s="174"/>
      <c r="CM42" s="174"/>
      <c r="CN42" s="174"/>
      <c r="CO42" s="174"/>
      <c r="CP42" s="174"/>
      <c r="CQ42" s="174"/>
      <c r="CR42" s="174"/>
      <c r="CS42" s="174"/>
      <c r="CT42" s="174"/>
      <c r="CU42" s="174"/>
      <c r="CV42" s="174"/>
      <c r="CW42" s="174"/>
      <c r="CX42" s="174"/>
      <c r="CY42" s="174"/>
      <c r="CZ42" s="174" t="str">
        <f>"" &amp; TEXT(AE42,"#0.00%") &amp; " " &amp; "System Architecture 작성" &amp; "(박지민)" &amp; " " &amp; IF(P42="","",TEXT(P42,"M/D-")) &amp; IF(Q42="","",TEXT(Q42,"M/D")) &amp; " "</f>
        <v xml:space="preserve">100.00% System Architecture 작성(박지민) 11/9-11/9 </v>
      </c>
      <c r="DA42" s="174"/>
      <c r="DB42" s="174"/>
      <c r="DC42" s="174"/>
      <c r="DD42" s="174"/>
      <c r="DE42" s="174"/>
      <c r="DF42" s="174"/>
      <c r="DG42" s="174"/>
      <c r="DH42" s="174"/>
      <c r="DI42" s="174"/>
      <c r="DJ42" s="174"/>
      <c r="DK42" s="174"/>
      <c r="DL42" s="174"/>
      <c r="DM42" s="174"/>
      <c r="DN42" s="174"/>
      <c r="DO42" s="174"/>
      <c r="DP42" s="174"/>
      <c r="DQ42" s="174"/>
      <c r="DR42" s="174"/>
      <c r="DS42" s="174"/>
      <c r="DT42" s="174"/>
      <c r="DU42" s="174"/>
      <c r="DV42" s="174"/>
      <c r="DW42" s="174"/>
      <c r="DX42" s="174"/>
      <c r="DY42" s="174"/>
    </row>
    <row r="43" spans="1:129" ht="12" customHeight="1" outlineLevel="1">
      <c r="A43" s="162"/>
      <c r="B43" s="162"/>
      <c r="C43" s="162">
        <v>2</v>
      </c>
      <c r="D43" s="163" t="s">
        <v>1664</v>
      </c>
      <c r="E43" s="164"/>
      <c r="F43" s="164" t="s">
        <v>1635</v>
      </c>
      <c r="G43" s="164"/>
      <c r="H43" s="164"/>
      <c r="I43" s="164"/>
      <c r="J43" s="164"/>
      <c r="K43" s="164"/>
      <c r="L43" s="164"/>
      <c r="M43" s="164"/>
      <c r="N43" s="164"/>
      <c r="O43" s="164"/>
      <c r="P43" s="165">
        <v>44144</v>
      </c>
      <c r="Q43" s="165">
        <v>44144</v>
      </c>
      <c r="R43" s="166"/>
      <c r="S43" s="167">
        <v>2</v>
      </c>
      <c r="T43" s="167">
        <v>2</v>
      </c>
      <c r="U43" s="167">
        <v>1</v>
      </c>
      <c r="V43" s="167">
        <v>1</v>
      </c>
      <c r="W43" s="165"/>
      <c r="X43" s="165"/>
      <c r="Y43" s="168"/>
      <c r="Z43" s="169">
        <v>0</v>
      </c>
      <c r="AA43" s="167"/>
      <c r="AB43" s="166" t="s">
        <v>1636</v>
      </c>
      <c r="AC43" s="170"/>
      <c r="AD43" s="171">
        <v>1</v>
      </c>
      <c r="AE43" s="172">
        <v>0.5</v>
      </c>
      <c r="AF43" s="173"/>
      <c r="AG43" s="174"/>
      <c r="AH43" s="174"/>
      <c r="AI43" s="174"/>
      <c r="AJ43" s="174"/>
      <c r="AK43" s="174"/>
      <c r="AL43" s="174"/>
      <c r="AM43" s="174"/>
      <c r="AN43" s="174"/>
      <c r="AO43" s="174"/>
      <c r="AP43" s="174"/>
      <c r="AQ43" s="174"/>
      <c r="AR43" s="174"/>
      <c r="AS43" s="174"/>
      <c r="AT43" s="174"/>
      <c r="AU43" s="174"/>
      <c r="AV43" s="174"/>
      <c r="AW43" s="174"/>
      <c r="AX43" s="174"/>
      <c r="AY43" s="174"/>
      <c r="AZ43" s="174"/>
      <c r="BA43" s="174"/>
      <c r="BB43" s="174"/>
      <c r="BC43" s="174"/>
      <c r="BD43" s="174"/>
      <c r="BE43" s="174"/>
      <c r="BF43" s="174"/>
      <c r="BG43" s="174"/>
      <c r="BH43" s="174"/>
      <c r="BI43" s="174"/>
      <c r="BJ43" s="174"/>
      <c r="BK43" s="174"/>
      <c r="BL43" s="174"/>
      <c r="BM43" s="174"/>
      <c r="BN43" s="174"/>
      <c r="BO43" s="174"/>
      <c r="BP43" s="174"/>
      <c r="BQ43" s="174"/>
      <c r="BR43" s="174"/>
      <c r="BS43" s="174"/>
      <c r="BT43" s="174"/>
      <c r="BU43" s="174"/>
      <c r="BV43" s="174"/>
      <c r="BW43" s="174"/>
      <c r="BX43" s="174"/>
      <c r="BY43" s="174"/>
      <c r="BZ43" s="174"/>
      <c r="CA43" s="174"/>
      <c r="CB43" s="174"/>
      <c r="CC43" s="174"/>
      <c r="CD43" s="174"/>
      <c r="CE43" s="174"/>
      <c r="CF43" s="174"/>
      <c r="CG43" s="174"/>
      <c r="CH43" s="174"/>
      <c r="CI43" s="174"/>
      <c r="CJ43" s="174"/>
      <c r="CK43" s="174"/>
      <c r="CL43" s="174"/>
      <c r="CM43" s="174"/>
      <c r="CN43" s="174"/>
      <c r="CO43" s="174"/>
      <c r="CP43" s="174"/>
      <c r="CQ43" s="174"/>
      <c r="CR43" s="174"/>
      <c r="CS43" s="174"/>
      <c r="CT43" s="174"/>
      <c r="CU43" s="174"/>
      <c r="CV43" s="174"/>
      <c r="CW43" s="174"/>
      <c r="CX43" s="174"/>
      <c r="CY43" s="174"/>
      <c r="CZ43" s="174" t="str">
        <f>"" &amp; TEXT(AE43,"#0.00%") &amp; " " &amp; "GUI 구현" &amp; "(김민수, 남인우)" &amp; " " &amp; IF(P43="","",TEXT(P43,"M/D-")) &amp; IF(Q43="","",TEXT(Q43,"M/D")) &amp; " "</f>
        <v xml:space="preserve">50.00% GUI 구현(김민수, 남인우) 11/9-11/9 </v>
      </c>
      <c r="DA43" s="174"/>
      <c r="DB43" s="174"/>
      <c r="DC43" s="174"/>
      <c r="DD43" s="174"/>
      <c r="DE43" s="174"/>
      <c r="DF43" s="174"/>
      <c r="DG43" s="174"/>
      <c r="DH43" s="174"/>
      <c r="DI43" s="174"/>
      <c r="DJ43" s="174"/>
      <c r="DK43" s="174"/>
      <c r="DL43" s="174"/>
      <c r="DM43" s="174"/>
      <c r="DN43" s="174"/>
      <c r="DO43" s="174"/>
      <c r="DP43" s="174"/>
      <c r="DQ43" s="174"/>
      <c r="DR43" s="174"/>
      <c r="DS43" s="174"/>
      <c r="DT43" s="174"/>
      <c r="DU43" s="174"/>
      <c r="DV43" s="174"/>
      <c r="DW43" s="174"/>
      <c r="DX43" s="174"/>
      <c r="DY43" s="174"/>
    </row>
    <row r="44" spans="1:129" ht="12" customHeight="1" outlineLevel="1">
      <c r="A44" s="162"/>
      <c r="B44" s="162"/>
      <c r="C44" s="162">
        <v>2</v>
      </c>
      <c r="D44" s="163" t="s">
        <v>1665</v>
      </c>
      <c r="E44" s="164"/>
      <c r="F44" s="164" t="s">
        <v>1637</v>
      </c>
      <c r="G44" s="164"/>
      <c r="H44" s="164"/>
      <c r="I44" s="164"/>
      <c r="J44" s="164"/>
      <c r="K44" s="164"/>
      <c r="L44" s="164"/>
      <c r="M44" s="164"/>
      <c r="N44" s="164"/>
      <c r="O44" s="164"/>
      <c r="P44" s="165">
        <v>44144</v>
      </c>
      <c r="Q44" s="165">
        <v>44144</v>
      </c>
      <c r="R44" s="166"/>
      <c r="S44" s="167">
        <v>1</v>
      </c>
      <c r="T44" s="167">
        <v>1</v>
      </c>
      <c r="U44" s="167">
        <v>1</v>
      </c>
      <c r="V44" s="167">
        <v>1</v>
      </c>
      <c r="W44" s="165"/>
      <c r="X44" s="165"/>
      <c r="Y44" s="168"/>
      <c r="Z44" s="169">
        <v>0</v>
      </c>
      <c r="AA44" s="167"/>
      <c r="AB44" s="166" t="s">
        <v>1619</v>
      </c>
      <c r="AC44" s="170"/>
      <c r="AD44" s="171">
        <v>1</v>
      </c>
      <c r="AE44" s="172">
        <v>1</v>
      </c>
      <c r="AF44" s="173"/>
      <c r="AG44" s="174"/>
      <c r="AH44" s="174"/>
      <c r="AI44" s="174"/>
      <c r="AJ44" s="174"/>
      <c r="AK44" s="174"/>
      <c r="AL44" s="174"/>
      <c r="AM44" s="174"/>
      <c r="AN44" s="174"/>
      <c r="AO44" s="174"/>
      <c r="AP44" s="174"/>
      <c r="AQ44" s="174"/>
      <c r="AR44" s="174"/>
      <c r="AS44" s="174"/>
      <c r="AT44" s="174"/>
      <c r="AU44" s="174"/>
      <c r="AV44" s="174"/>
      <c r="AW44" s="174"/>
      <c r="AX44" s="174"/>
      <c r="AY44" s="174"/>
      <c r="AZ44" s="174"/>
      <c r="BA44" s="174"/>
      <c r="BB44" s="174"/>
      <c r="BC44" s="174"/>
      <c r="BD44" s="174"/>
      <c r="BE44" s="174"/>
      <c r="BF44" s="174"/>
      <c r="BG44" s="174"/>
      <c r="BH44" s="174"/>
      <c r="BI44" s="174"/>
      <c r="BJ44" s="174"/>
      <c r="BK44" s="174"/>
      <c r="BL44" s="174"/>
      <c r="BM44" s="174"/>
      <c r="BN44" s="174"/>
      <c r="BO44" s="174"/>
      <c r="BP44" s="174"/>
      <c r="BQ44" s="174"/>
      <c r="BR44" s="174"/>
      <c r="BS44" s="174"/>
      <c r="BT44" s="174"/>
      <c r="BU44" s="174"/>
      <c r="BV44" s="174"/>
      <c r="BW44" s="174"/>
      <c r="BX44" s="174"/>
      <c r="BY44" s="174"/>
      <c r="BZ44" s="174"/>
      <c r="CA44" s="174"/>
      <c r="CB44" s="174"/>
      <c r="CC44" s="174"/>
      <c r="CD44" s="174"/>
      <c r="CE44" s="174"/>
      <c r="CF44" s="174"/>
      <c r="CG44" s="174"/>
      <c r="CH44" s="174"/>
      <c r="CI44" s="174"/>
      <c r="CJ44" s="174"/>
      <c r="CK44" s="174"/>
      <c r="CL44" s="174"/>
      <c r="CM44" s="174"/>
      <c r="CN44" s="174"/>
      <c r="CO44" s="174"/>
      <c r="CP44" s="174"/>
      <c r="CQ44" s="174"/>
      <c r="CR44" s="174"/>
      <c r="CS44" s="174"/>
      <c r="CT44" s="174"/>
      <c r="CU44" s="174"/>
      <c r="CV44" s="174"/>
      <c r="CW44" s="174"/>
      <c r="CX44" s="174"/>
      <c r="CY44" s="174"/>
      <c r="CZ44" s="174" t="str">
        <f>"" &amp; TEXT(AE44,"#0.00%") &amp; " " &amp; "일정 재정립" &amp; "(조동현)" &amp; " " &amp; IF(P44="","",TEXT(P44,"M/D-")) &amp; IF(Q44="","",TEXT(Q44,"M/D")) &amp; " "</f>
        <v xml:space="preserve">100.00% 일정 재정립(조동현) 11/9-11/9 </v>
      </c>
      <c r="DA44" s="174"/>
      <c r="DB44" s="174"/>
      <c r="DC44" s="174"/>
      <c r="DD44" s="174"/>
      <c r="DE44" s="174"/>
      <c r="DF44" s="174"/>
      <c r="DG44" s="174"/>
      <c r="DH44" s="174"/>
      <c r="DI44" s="174"/>
      <c r="DJ44" s="174"/>
      <c r="DK44" s="174"/>
      <c r="DL44" s="174"/>
      <c r="DM44" s="174"/>
      <c r="DN44" s="174"/>
      <c r="DO44" s="174"/>
      <c r="DP44" s="174"/>
      <c r="DQ44" s="174"/>
      <c r="DR44" s="174"/>
      <c r="DS44" s="174"/>
      <c r="DT44" s="174"/>
      <c r="DU44" s="174"/>
      <c r="DV44" s="174"/>
      <c r="DW44" s="174"/>
      <c r="DX44" s="174"/>
      <c r="DY44" s="174"/>
    </row>
    <row r="45" spans="1:129" ht="12" customHeight="1" outlineLevel="1">
      <c r="A45" s="162"/>
      <c r="B45" s="162" t="s">
        <v>1437</v>
      </c>
      <c r="C45" s="162">
        <v>2</v>
      </c>
      <c r="D45" s="163" t="s">
        <v>1666</v>
      </c>
      <c r="E45" s="164"/>
      <c r="F45" s="164" t="s">
        <v>1642</v>
      </c>
      <c r="G45" s="164"/>
      <c r="H45" s="164"/>
      <c r="I45" s="164"/>
      <c r="J45" s="164"/>
      <c r="K45" s="164"/>
      <c r="L45" s="164"/>
      <c r="M45" s="164"/>
      <c r="N45" s="164"/>
      <c r="O45" s="164"/>
      <c r="P45" s="165">
        <v>44145</v>
      </c>
      <c r="Q45" s="165">
        <v>44156</v>
      </c>
      <c r="R45" s="166"/>
      <c r="S45" s="167">
        <v>36</v>
      </c>
      <c r="T45" s="167">
        <v>0</v>
      </c>
      <c r="U45" s="167">
        <v>9</v>
      </c>
      <c r="V45" s="167">
        <v>0</v>
      </c>
      <c r="W45" s="165"/>
      <c r="X45" s="165"/>
      <c r="Y45" s="168">
        <v>0</v>
      </c>
      <c r="Z45" s="169">
        <v>0</v>
      </c>
      <c r="AA45" s="167"/>
      <c r="AB45" s="166"/>
      <c r="AC45" s="170"/>
      <c r="AD45" s="171">
        <v>0</v>
      </c>
      <c r="AE45" s="172">
        <v>0</v>
      </c>
      <c r="AF45" s="173"/>
      <c r="AG45" s="174"/>
      <c r="AH45" s="174"/>
      <c r="AI45" s="174"/>
      <c r="AJ45" s="174"/>
      <c r="AK45" s="174"/>
      <c r="AL45" s="174"/>
      <c r="AM45" s="174"/>
      <c r="AN45" s="174"/>
      <c r="AO45" s="174"/>
      <c r="AP45" s="174"/>
      <c r="AQ45" s="174"/>
      <c r="AR45" s="174"/>
      <c r="AS45" s="174"/>
      <c r="AT45" s="174"/>
      <c r="AU45" s="174"/>
      <c r="AV45" s="174"/>
      <c r="AW45" s="174"/>
      <c r="AX45" s="174"/>
      <c r="AY45" s="174"/>
      <c r="AZ45" s="174"/>
      <c r="BA45" s="174"/>
      <c r="BB45" s="174"/>
      <c r="BC45" s="174"/>
      <c r="BD45" s="174"/>
      <c r="BE45" s="174"/>
      <c r="BF45" s="174"/>
      <c r="BG45" s="174"/>
      <c r="BH45" s="174"/>
      <c r="BI45" s="174"/>
      <c r="BJ45" s="174"/>
      <c r="BK45" s="174"/>
      <c r="BL45" s="174"/>
      <c r="BM45" s="174"/>
      <c r="BN45" s="174"/>
      <c r="BO45" s="174"/>
      <c r="BP45" s="174"/>
      <c r="BQ45" s="174"/>
      <c r="BR45" s="174"/>
      <c r="BS45" s="174"/>
      <c r="BT45" s="174"/>
      <c r="BU45" s="174"/>
      <c r="BV45" s="174"/>
      <c r="BW45" s="174"/>
      <c r="BX45" s="174"/>
      <c r="BY45" s="174"/>
      <c r="BZ45" s="174"/>
      <c r="CA45" s="174"/>
      <c r="CB45" s="174"/>
      <c r="CC45" s="174"/>
      <c r="CD45" s="174"/>
      <c r="CE45" s="174"/>
      <c r="CF45" s="174"/>
      <c r="CG45" s="174"/>
      <c r="CH45" s="174"/>
      <c r="CI45" s="174"/>
      <c r="CJ45" s="174"/>
      <c r="CK45" s="174"/>
      <c r="CL45" s="174"/>
      <c r="CM45" s="174"/>
      <c r="CN45" s="174"/>
      <c r="CO45" s="174"/>
      <c r="CP45" s="174"/>
      <c r="CQ45" s="174"/>
      <c r="CR45" s="174"/>
      <c r="CS45" s="174"/>
      <c r="CT45" s="174"/>
      <c r="CU45" s="174"/>
      <c r="CV45" s="174"/>
      <c r="CW45" s="174"/>
      <c r="CX45" s="174"/>
      <c r="CY45" s="174"/>
      <c r="CZ45" s="174" t="str">
        <f>"" &amp; TEXT(AE45,"#0.00%") &amp; " "</f>
        <v xml:space="preserve">0.00% </v>
      </c>
      <c r="DA45" s="174"/>
      <c r="DB45" s="174"/>
      <c r="DC45" s="174"/>
      <c r="DD45" s="174"/>
      <c r="DE45" s="174"/>
      <c r="DF45" s="174"/>
      <c r="DG45" s="174"/>
      <c r="DH45" s="174"/>
      <c r="DI45" s="174"/>
      <c r="DJ45" s="174"/>
      <c r="DK45" s="174"/>
      <c r="DL45" s="174" t="str">
        <f>"" &amp; "구현 분업 (+ 구현을 위한 공부)" &amp; " " &amp; IF(P45="","",TEXT(P45,"M/D-")) &amp; IF(Q45="","",TEXT(Q45,"M/D")) &amp; " "</f>
        <v xml:space="preserve">구현 분업 (+ 구현을 위한 공부) 11/10-11/21 </v>
      </c>
      <c r="DM45" s="174"/>
      <c r="DN45" s="174"/>
      <c r="DO45" s="174"/>
      <c r="DP45" s="174"/>
      <c r="DQ45" s="174"/>
      <c r="DR45" s="174"/>
      <c r="DS45" s="174"/>
      <c r="DT45" s="174"/>
      <c r="DU45" s="174"/>
      <c r="DV45" s="174"/>
      <c r="DW45" s="174"/>
      <c r="DX45" s="174"/>
      <c r="DY45" s="174"/>
    </row>
    <row r="46" spans="1:129" ht="12" customHeight="1" outlineLevel="2">
      <c r="A46" s="162"/>
      <c r="B46" s="162"/>
      <c r="C46" s="162">
        <v>3</v>
      </c>
      <c r="D46" s="163" t="s">
        <v>1667</v>
      </c>
      <c r="E46" s="164"/>
      <c r="F46" s="164"/>
      <c r="G46" s="164" t="s">
        <v>1638</v>
      </c>
      <c r="H46" s="164"/>
      <c r="I46" s="164"/>
      <c r="J46" s="164"/>
      <c r="K46" s="164"/>
      <c r="L46" s="164"/>
      <c r="M46" s="164"/>
      <c r="N46" s="164"/>
      <c r="O46" s="164"/>
      <c r="P46" s="165">
        <v>44145</v>
      </c>
      <c r="Q46" s="165">
        <v>44156</v>
      </c>
      <c r="R46" s="166"/>
      <c r="S46" s="167">
        <v>9</v>
      </c>
      <c r="T46" s="167">
        <v>0</v>
      </c>
      <c r="U46" s="167">
        <v>9</v>
      </c>
      <c r="V46" s="167">
        <v>0</v>
      </c>
      <c r="W46" s="165"/>
      <c r="X46" s="165"/>
      <c r="Y46" s="168"/>
      <c r="Z46" s="169">
        <v>0</v>
      </c>
      <c r="AA46" s="167"/>
      <c r="AB46" s="166" t="s">
        <v>1643</v>
      </c>
      <c r="AC46" s="170"/>
      <c r="AD46" s="171">
        <v>0</v>
      </c>
      <c r="AE46" s="172">
        <v>0</v>
      </c>
      <c r="AF46" s="173"/>
      <c r="AG46" s="174"/>
      <c r="AH46" s="174"/>
      <c r="AI46" s="174"/>
      <c r="AJ46" s="174"/>
      <c r="AK46" s="174"/>
      <c r="AL46" s="174"/>
      <c r="AM46" s="174"/>
      <c r="AN46" s="174"/>
      <c r="AO46" s="174"/>
      <c r="AP46" s="174"/>
      <c r="AQ46" s="174"/>
      <c r="AR46" s="174"/>
      <c r="AS46" s="174"/>
      <c r="AT46" s="174"/>
      <c r="AU46" s="174"/>
      <c r="AV46" s="174"/>
      <c r="AW46" s="174"/>
      <c r="AX46" s="174"/>
      <c r="AY46" s="174"/>
      <c r="AZ46" s="174"/>
      <c r="BA46" s="174"/>
      <c r="BB46" s="174"/>
      <c r="BC46" s="174"/>
      <c r="BD46" s="174"/>
      <c r="BE46" s="174"/>
      <c r="BF46" s="174"/>
      <c r="BG46" s="174"/>
      <c r="BH46" s="174"/>
      <c r="BI46" s="174"/>
      <c r="BJ46" s="174"/>
      <c r="BK46" s="174"/>
      <c r="BL46" s="174"/>
      <c r="BM46" s="174"/>
      <c r="BN46" s="174"/>
      <c r="BO46" s="174"/>
      <c r="BP46" s="174"/>
      <c r="BQ46" s="174"/>
      <c r="BR46" s="174"/>
      <c r="BS46" s="174"/>
      <c r="BT46" s="174"/>
      <c r="BU46" s="174"/>
      <c r="BV46" s="174"/>
      <c r="BW46" s="174"/>
      <c r="BX46" s="174"/>
      <c r="BY46" s="174"/>
      <c r="BZ46" s="174"/>
      <c r="CA46" s="174"/>
      <c r="CB46" s="174"/>
      <c r="CC46" s="174"/>
      <c r="CD46" s="174"/>
      <c r="CE46" s="174"/>
      <c r="CF46" s="174"/>
      <c r="CG46" s="174"/>
      <c r="CH46" s="174"/>
      <c r="CI46" s="174"/>
      <c r="CJ46" s="174"/>
      <c r="CK46" s="174"/>
      <c r="CL46" s="174"/>
      <c r="CM46" s="174"/>
      <c r="CN46" s="174"/>
      <c r="CO46" s="174"/>
      <c r="CP46" s="174"/>
      <c r="CQ46" s="174"/>
      <c r="CR46" s="174"/>
      <c r="CS46" s="174"/>
      <c r="CT46" s="174"/>
      <c r="CU46" s="174"/>
      <c r="CV46" s="174"/>
      <c r="CW46" s="174"/>
      <c r="CX46" s="174"/>
      <c r="CY46" s="174"/>
      <c r="CZ46" s="174" t="str">
        <f>"" &amp; TEXT(AE46,"#0.00%") &amp; " "</f>
        <v xml:space="preserve">0.00% </v>
      </c>
      <c r="DA46" s="174"/>
      <c r="DB46" s="174"/>
      <c r="DC46" s="174"/>
      <c r="DD46" s="174"/>
      <c r="DE46" s="174"/>
      <c r="DF46" s="174"/>
      <c r="DG46" s="174"/>
      <c r="DH46" s="174"/>
      <c r="DI46" s="174"/>
      <c r="DJ46" s="174"/>
      <c r="DK46" s="174"/>
      <c r="DL46" s="174" t="str">
        <f>"" &amp; "학부 크롤링" &amp; "(김민수)" &amp; " " &amp; IF(P46="","",TEXT(P46,"M/D-")) &amp; IF(Q46="","",TEXT(Q46,"M/D")) &amp; " "</f>
        <v xml:space="preserve">학부 크롤링(김민수) 11/10-11/21 </v>
      </c>
      <c r="DM46" s="174"/>
      <c r="DN46" s="174"/>
      <c r="DO46" s="174"/>
      <c r="DP46" s="174"/>
      <c r="DQ46" s="174"/>
      <c r="DR46" s="174"/>
      <c r="DS46" s="174"/>
      <c r="DT46" s="174"/>
      <c r="DU46" s="174"/>
      <c r="DV46" s="174"/>
      <c r="DW46" s="174"/>
      <c r="DX46" s="174"/>
      <c r="DY46" s="174"/>
    </row>
    <row r="47" spans="1:129" ht="12" customHeight="1" outlineLevel="2">
      <c r="A47" s="162"/>
      <c r="B47" s="162"/>
      <c r="C47" s="162">
        <v>3</v>
      </c>
      <c r="D47" s="163" t="s">
        <v>1668</v>
      </c>
      <c r="E47" s="164"/>
      <c r="F47" s="164"/>
      <c r="G47" s="164" t="s">
        <v>1639</v>
      </c>
      <c r="H47" s="164"/>
      <c r="I47" s="164"/>
      <c r="J47" s="164"/>
      <c r="K47" s="164"/>
      <c r="L47" s="164"/>
      <c r="M47" s="164"/>
      <c r="N47" s="164"/>
      <c r="O47" s="164"/>
      <c r="P47" s="165">
        <v>44145</v>
      </c>
      <c r="Q47" s="165">
        <v>44156</v>
      </c>
      <c r="R47" s="166"/>
      <c r="S47" s="167">
        <v>9</v>
      </c>
      <c r="T47" s="167">
        <v>0</v>
      </c>
      <c r="U47" s="167">
        <v>9</v>
      </c>
      <c r="V47" s="167">
        <v>0</v>
      </c>
      <c r="W47" s="165"/>
      <c r="X47" s="165"/>
      <c r="Y47" s="168"/>
      <c r="Z47" s="169">
        <v>0</v>
      </c>
      <c r="AA47" s="167"/>
      <c r="AB47" s="166" t="s">
        <v>1628</v>
      </c>
      <c r="AC47" s="170"/>
      <c r="AD47" s="171">
        <v>0</v>
      </c>
      <c r="AE47" s="172">
        <v>0</v>
      </c>
      <c r="AF47" s="173"/>
      <c r="AG47" s="174"/>
      <c r="AH47" s="174"/>
      <c r="AI47" s="174"/>
      <c r="AJ47" s="174"/>
      <c r="AK47" s="174"/>
      <c r="AL47" s="174"/>
      <c r="AM47" s="174"/>
      <c r="AN47" s="174"/>
      <c r="AO47" s="174"/>
      <c r="AP47" s="174"/>
      <c r="AQ47" s="174"/>
      <c r="AR47" s="174"/>
      <c r="AS47" s="174"/>
      <c r="AT47" s="174"/>
      <c r="AU47" s="174"/>
      <c r="AV47" s="174"/>
      <c r="AW47" s="174"/>
      <c r="AX47" s="174"/>
      <c r="AY47" s="174"/>
      <c r="AZ47" s="174"/>
      <c r="BA47" s="174"/>
      <c r="BB47" s="174"/>
      <c r="BC47" s="174"/>
      <c r="BD47" s="174"/>
      <c r="BE47" s="174"/>
      <c r="BF47" s="174"/>
      <c r="BG47" s="174"/>
      <c r="BH47" s="174"/>
      <c r="BI47" s="174"/>
      <c r="BJ47" s="174"/>
      <c r="BK47" s="174"/>
      <c r="BL47" s="174"/>
      <c r="BM47" s="174"/>
      <c r="BN47" s="174"/>
      <c r="BO47" s="174"/>
      <c r="BP47" s="174"/>
      <c r="BQ47" s="174"/>
      <c r="BR47" s="174"/>
      <c r="BS47" s="174"/>
      <c r="BT47" s="174"/>
      <c r="BU47" s="174"/>
      <c r="BV47" s="174"/>
      <c r="BW47" s="174"/>
      <c r="BX47" s="174"/>
      <c r="BY47" s="174"/>
      <c r="BZ47" s="174"/>
      <c r="CA47" s="174"/>
      <c r="CB47" s="174"/>
      <c r="CC47" s="174"/>
      <c r="CD47" s="174"/>
      <c r="CE47" s="174"/>
      <c r="CF47" s="174"/>
      <c r="CG47" s="174"/>
      <c r="CH47" s="174"/>
      <c r="CI47" s="174"/>
      <c r="CJ47" s="174"/>
      <c r="CK47" s="174"/>
      <c r="CL47" s="174"/>
      <c r="CM47" s="174"/>
      <c r="CN47" s="174"/>
      <c r="CO47" s="174"/>
      <c r="CP47" s="174"/>
      <c r="CQ47" s="174"/>
      <c r="CR47" s="174"/>
      <c r="CS47" s="174"/>
      <c r="CT47" s="174"/>
      <c r="CU47" s="174"/>
      <c r="CV47" s="174"/>
      <c r="CW47" s="174"/>
      <c r="CX47" s="174"/>
      <c r="CY47" s="174"/>
      <c r="CZ47" s="174" t="str">
        <f>"" &amp; TEXT(AE47,"#0.00%") &amp; " "</f>
        <v xml:space="preserve">0.00% </v>
      </c>
      <c r="DA47" s="174"/>
      <c r="DB47" s="174"/>
      <c r="DC47" s="174"/>
      <c r="DD47" s="174"/>
      <c r="DE47" s="174"/>
      <c r="DF47" s="174"/>
      <c r="DG47" s="174"/>
      <c r="DH47" s="174"/>
      <c r="DI47" s="174"/>
      <c r="DJ47" s="174"/>
      <c r="DK47" s="174"/>
      <c r="DL47" s="174" t="str">
        <f>"" &amp; "학부 setting" &amp; "(박지민)" &amp; " " &amp; IF(P47="","",TEXT(P47,"M/D-")) &amp; IF(Q47="","",TEXT(Q47,"M/D")) &amp; " "</f>
        <v xml:space="preserve">학부 setting(박지민) 11/10-11/21 </v>
      </c>
      <c r="DM47" s="174"/>
      <c r="DN47" s="174"/>
      <c r="DO47" s="174"/>
      <c r="DP47" s="174"/>
      <c r="DQ47" s="174"/>
      <c r="DR47" s="174"/>
      <c r="DS47" s="174"/>
      <c r="DT47" s="174"/>
      <c r="DU47" s="174"/>
      <c r="DV47" s="174"/>
      <c r="DW47" s="174"/>
      <c r="DX47" s="174"/>
      <c r="DY47" s="174"/>
    </row>
    <row r="48" spans="1:129" ht="12" customHeight="1" outlineLevel="2">
      <c r="A48" s="162"/>
      <c r="B48" s="162"/>
      <c r="C48" s="162">
        <v>3</v>
      </c>
      <c r="D48" s="163" t="s">
        <v>1669</v>
      </c>
      <c r="E48" s="164"/>
      <c r="F48" s="164"/>
      <c r="G48" s="164" t="s">
        <v>1640</v>
      </c>
      <c r="H48" s="164"/>
      <c r="I48" s="164"/>
      <c r="J48" s="164"/>
      <c r="K48" s="164"/>
      <c r="L48" s="164"/>
      <c r="M48" s="164"/>
      <c r="N48" s="164"/>
      <c r="O48" s="164"/>
      <c r="P48" s="165">
        <v>44145</v>
      </c>
      <c r="Q48" s="165">
        <v>44156</v>
      </c>
      <c r="R48" s="166"/>
      <c r="S48" s="167">
        <v>9</v>
      </c>
      <c r="T48" s="167">
        <v>0</v>
      </c>
      <c r="U48" s="167">
        <v>9</v>
      </c>
      <c r="V48" s="167">
        <v>0</v>
      </c>
      <c r="W48" s="165"/>
      <c r="X48" s="165"/>
      <c r="Y48" s="168"/>
      <c r="Z48" s="169">
        <v>0</v>
      </c>
      <c r="AA48" s="167"/>
      <c r="AB48" s="166" t="s">
        <v>1619</v>
      </c>
      <c r="AC48" s="170"/>
      <c r="AD48" s="171">
        <v>0</v>
      </c>
      <c r="AE48" s="172">
        <v>0</v>
      </c>
      <c r="AF48" s="173"/>
      <c r="AG48" s="174"/>
      <c r="AH48" s="174"/>
      <c r="AI48" s="174"/>
      <c r="AJ48" s="174"/>
      <c r="AK48" s="174"/>
      <c r="AL48" s="174"/>
      <c r="AM48" s="174"/>
      <c r="AN48" s="174"/>
      <c r="AO48" s="174"/>
      <c r="AP48" s="174"/>
      <c r="AQ48" s="174"/>
      <c r="AR48" s="174"/>
      <c r="AS48" s="174"/>
      <c r="AT48" s="174"/>
      <c r="AU48" s="174"/>
      <c r="AV48" s="174"/>
      <c r="AW48" s="174"/>
      <c r="AX48" s="174"/>
      <c r="AY48" s="174"/>
      <c r="AZ48" s="174"/>
      <c r="BA48" s="174"/>
      <c r="BB48" s="174"/>
      <c r="BC48" s="174"/>
      <c r="BD48" s="174"/>
      <c r="BE48" s="174"/>
      <c r="BF48" s="174"/>
      <c r="BG48" s="174"/>
      <c r="BH48" s="174"/>
      <c r="BI48" s="174"/>
      <c r="BJ48" s="174"/>
      <c r="BK48" s="174"/>
      <c r="BL48" s="174"/>
      <c r="BM48" s="174"/>
      <c r="BN48" s="174"/>
      <c r="BO48" s="174"/>
      <c r="BP48" s="174"/>
      <c r="BQ48" s="174"/>
      <c r="BR48" s="174"/>
      <c r="BS48" s="174"/>
      <c r="BT48" s="174"/>
      <c r="BU48" s="174"/>
      <c r="BV48" s="174"/>
      <c r="BW48" s="174"/>
      <c r="BX48" s="174"/>
      <c r="BY48" s="174"/>
      <c r="BZ48" s="174"/>
      <c r="CA48" s="174"/>
      <c r="CB48" s="174"/>
      <c r="CC48" s="174"/>
      <c r="CD48" s="174"/>
      <c r="CE48" s="174"/>
      <c r="CF48" s="174"/>
      <c r="CG48" s="174"/>
      <c r="CH48" s="174"/>
      <c r="CI48" s="174"/>
      <c r="CJ48" s="174"/>
      <c r="CK48" s="174"/>
      <c r="CL48" s="174"/>
      <c r="CM48" s="174"/>
      <c r="CN48" s="174"/>
      <c r="CO48" s="174"/>
      <c r="CP48" s="174"/>
      <c r="CQ48" s="174"/>
      <c r="CR48" s="174"/>
      <c r="CS48" s="174"/>
      <c r="CT48" s="174"/>
      <c r="CU48" s="174"/>
      <c r="CV48" s="174"/>
      <c r="CW48" s="174"/>
      <c r="CX48" s="174"/>
      <c r="CY48" s="174"/>
      <c r="CZ48" s="174" t="str">
        <f>"" &amp; TEXT(AE48,"#0.00%") &amp; " "</f>
        <v xml:space="preserve">0.00% </v>
      </c>
      <c r="DA48" s="174"/>
      <c r="DB48" s="174"/>
      <c r="DC48" s="174"/>
      <c r="DD48" s="174"/>
      <c r="DE48" s="174"/>
      <c r="DF48" s="174"/>
      <c r="DG48" s="174"/>
      <c r="DH48" s="174"/>
      <c r="DI48" s="174"/>
      <c r="DJ48" s="174"/>
      <c r="DK48" s="174"/>
      <c r="DL48" s="174" t="str">
        <f>"" &amp; "LMS 크롤링" &amp; "(조동현)" &amp; " " &amp; IF(P48="","",TEXT(P48,"M/D-")) &amp; IF(Q48="","",TEXT(Q48,"M/D")) &amp; " "</f>
        <v xml:space="preserve">LMS 크롤링(조동현) 11/10-11/21 </v>
      </c>
      <c r="DM48" s="174"/>
      <c r="DN48" s="174"/>
      <c r="DO48" s="174"/>
      <c r="DP48" s="174"/>
      <c r="DQ48" s="174"/>
      <c r="DR48" s="174"/>
      <c r="DS48" s="174"/>
      <c r="DT48" s="174"/>
      <c r="DU48" s="174"/>
      <c r="DV48" s="174"/>
      <c r="DW48" s="174"/>
      <c r="DX48" s="174"/>
      <c r="DY48" s="174"/>
    </row>
    <row r="49" spans="1:129" ht="12" customHeight="1" outlineLevel="2">
      <c r="A49" s="162"/>
      <c r="B49" s="162"/>
      <c r="C49" s="162">
        <v>3</v>
      </c>
      <c r="D49" s="163" t="s">
        <v>1670</v>
      </c>
      <c r="E49" s="164"/>
      <c r="F49" s="164"/>
      <c r="G49" s="164" t="s">
        <v>1641</v>
      </c>
      <c r="H49" s="164"/>
      <c r="I49" s="164"/>
      <c r="J49" s="164"/>
      <c r="K49" s="164"/>
      <c r="L49" s="164"/>
      <c r="M49" s="164"/>
      <c r="N49" s="164"/>
      <c r="O49" s="164"/>
      <c r="P49" s="165">
        <v>44145</v>
      </c>
      <c r="Q49" s="165">
        <v>44156</v>
      </c>
      <c r="R49" s="166"/>
      <c r="S49" s="167">
        <v>9</v>
      </c>
      <c r="T49" s="167">
        <v>0</v>
      </c>
      <c r="U49" s="167">
        <v>9</v>
      </c>
      <c r="V49" s="167">
        <v>0</v>
      </c>
      <c r="W49" s="165"/>
      <c r="X49" s="165"/>
      <c r="Y49" s="168"/>
      <c r="Z49" s="169">
        <v>0</v>
      </c>
      <c r="AA49" s="167"/>
      <c r="AB49" s="166" t="s">
        <v>1629</v>
      </c>
      <c r="AC49" s="170"/>
      <c r="AD49" s="171">
        <v>0</v>
      </c>
      <c r="AE49" s="172">
        <v>0</v>
      </c>
      <c r="AF49" s="173"/>
      <c r="AG49" s="174"/>
      <c r="AH49" s="174"/>
      <c r="AI49" s="174"/>
      <c r="AJ49" s="174"/>
      <c r="AK49" s="174"/>
      <c r="AL49" s="174"/>
      <c r="AM49" s="174"/>
      <c r="AN49" s="174"/>
      <c r="AO49" s="174"/>
      <c r="AP49" s="174"/>
      <c r="AQ49" s="174"/>
      <c r="AR49" s="174"/>
      <c r="AS49" s="174"/>
      <c r="AT49" s="174"/>
      <c r="AU49" s="174"/>
      <c r="AV49" s="174"/>
      <c r="AW49" s="174"/>
      <c r="AX49" s="174"/>
      <c r="AY49" s="174"/>
      <c r="AZ49" s="174"/>
      <c r="BA49" s="174"/>
      <c r="BB49" s="174"/>
      <c r="BC49" s="174"/>
      <c r="BD49" s="174"/>
      <c r="BE49" s="174"/>
      <c r="BF49" s="174"/>
      <c r="BG49" s="174"/>
      <c r="BH49" s="174"/>
      <c r="BI49" s="174"/>
      <c r="BJ49" s="174"/>
      <c r="BK49" s="174"/>
      <c r="BL49" s="174"/>
      <c r="BM49" s="174"/>
      <c r="BN49" s="174"/>
      <c r="BO49" s="174"/>
      <c r="BP49" s="174"/>
      <c r="BQ49" s="174"/>
      <c r="BR49" s="174"/>
      <c r="BS49" s="174"/>
      <c r="BT49" s="174"/>
      <c r="BU49" s="174"/>
      <c r="BV49" s="174"/>
      <c r="BW49" s="174"/>
      <c r="BX49" s="174"/>
      <c r="BY49" s="174"/>
      <c r="BZ49" s="174"/>
      <c r="CA49" s="174"/>
      <c r="CB49" s="174"/>
      <c r="CC49" s="174"/>
      <c r="CD49" s="174"/>
      <c r="CE49" s="174"/>
      <c r="CF49" s="174"/>
      <c r="CG49" s="174"/>
      <c r="CH49" s="174"/>
      <c r="CI49" s="174"/>
      <c r="CJ49" s="174"/>
      <c r="CK49" s="174"/>
      <c r="CL49" s="174"/>
      <c r="CM49" s="174"/>
      <c r="CN49" s="174"/>
      <c r="CO49" s="174"/>
      <c r="CP49" s="174"/>
      <c r="CQ49" s="174"/>
      <c r="CR49" s="174"/>
      <c r="CS49" s="174"/>
      <c r="CT49" s="174"/>
      <c r="CU49" s="174"/>
      <c r="CV49" s="174"/>
      <c r="CW49" s="174"/>
      <c r="CX49" s="174"/>
      <c r="CY49" s="174"/>
      <c r="CZ49" s="174" t="str">
        <f>"" &amp; TEXT(AE49,"#0.00%") &amp; " "</f>
        <v xml:space="preserve">0.00% </v>
      </c>
      <c r="DA49" s="174"/>
      <c r="DB49" s="174"/>
      <c r="DC49" s="174"/>
      <c r="DD49" s="174"/>
      <c r="DE49" s="174"/>
      <c r="DF49" s="174"/>
      <c r="DG49" s="174"/>
      <c r="DH49" s="174"/>
      <c r="DI49" s="174"/>
      <c r="DJ49" s="174"/>
      <c r="DK49" s="174"/>
      <c r="DL49" s="174" t="str">
        <f>"" &amp; "LMS setting" &amp; "(남인우)" &amp; " " &amp; IF(P49="","",TEXT(P49,"M/D-")) &amp; IF(Q49="","",TEXT(Q49,"M/D")) &amp; " "</f>
        <v xml:space="preserve">LMS setting(남인우) 11/10-11/21 </v>
      </c>
      <c r="DM49" s="174"/>
      <c r="DN49" s="174"/>
      <c r="DO49" s="174"/>
      <c r="DP49" s="174"/>
      <c r="DQ49" s="174"/>
      <c r="DR49" s="174"/>
      <c r="DS49" s="174"/>
      <c r="DT49" s="174"/>
      <c r="DU49" s="174"/>
      <c r="DV49" s="174"/>
      <c r="DW49" s="174"/>
      <c r="DX49" s="174"/>
      <c r="DY49" s="174"/>
    </row>
    <row r="50" spans="1:129" ht="12" customHeight="1">
      <c r="A50" s="162"/>
      <c r="B50" s="162" t="s">
        <v>1437</v>
      </c>
      <c r="C50" s="162">
        <v>1</v>
      </c>
      <c r="D50" s="163" t="s">
        <v>1121</v>
      </c>
      <c r="E50" s="164" t="s">
        <v>1646</v>
      </c>
      <c r="F50" s="164"/>
      <c r="G50" s="164"/>
      <c r="H50" s="164"/>
      <c r="I50" s="164"/>
      <c r="J50" s="164"/>
      <c r="K50" s="164"/>
      <c r="L50" s="164"/>
      <c r="M50" s="164"/>
      <c r="N50" s="164"/>
      <c r="O50" s="164"/>
      <c r="P50" s="165">
        <v>44156</v>
      </c>
      <c r="Q50" s="165">
        <v>44156</v>
      </c>
      <c r="R50" s="166"/>
      <c r="S50" s="167">
        <v>0</v>
      </c>
      <c r="T50" s="167">
        <v>0</v>
      </c>
      <c r="U50" s="167">
        <v>0</v>
      </c>
      <c r="V50" s="167">
        <v>0</v>
      </c>
      <c r="W50" s="165"/>
      <c r="X50" s="165"/>
      <c r="Y50" s="168">
        <v>0</v>
      </c>
      <c r="Z50" s="169">
        <v>0</v>
      </c>
      <c r="AA50" s="167"/>
      <c r="AB50" s="166"/>
      <c r="AC50" s="170"/>
      <c r="AD50" s="171">
        <v>0</v>
      </c>
      <c r="AE50" s="172">
        <v>0</v>
      </c>
      <c r="AF50" s="173"/>
      <c r="AG50" s="174"/>
      <c r="AH50" s="174"/>
      <c r="AI50" s="174"/>
      <c r="AJ50" s="174"/>
      <c r="AK50" s="174"/>
      <c r="AL50" s="174"/>
      <c r="AM50" s="174"/>
      <c r="AN50" s="174"/>
      <c r="AO50" s="174"/>
      <c r="AP50" s="174"/>
      <c r="AQ50" s="174"/>
      <c r="AR50" s="174"/>
      <c r="AS50" s="174"/>
      <c r="AT50" s="174"/>
      <c r="AU50" s="174"/>
      <c r="AV50" s="174"/>
      <c r="AW50" s="174"/>
      <c r="AX50" s="174"/>
      <c r="AY50" s="174"/>
      <c r="AZ50" s="174"/>
      <c r="BA50" s="174"/>
      <c r="BB50" s="174"/>
      <c r="BC50" s="174"/>
      <c r="BD50" s="174"/>
      <c r="BE50" s="174"/>
      <c r="BF50" s="174"/>
      <c r="BG50" s="174"/>
      <c r="BH50" s="174"/>
      <c r="BI50" s="174"/>
      <c r="BJ50" s="174"/>
      <c r="BK50" s="174"/>
      <c r="BL50" s="174"/>
      <c r="BM50" s="174"/>
      <c r="BN50" s="174"/>
      <c r="BO50" s="174"/>
      <c r="BP50" s="174"/>
      <c r="BQ50" s="174"/>
      <c r="BR50" s="174"/>
      <c r="BS50" s="174"/>
      <c r="BT50" s="174"/>
      <c r="BU50" s="174"/>
      <c r="BV50" s="174"/>
      <c r="BW50" s="174"/>
      <c r="BX50" s="174"/>
      <c r="BY50" s="174"/>
      <c r="BZ50" s="174"/>
      <c r="CA50" s="174"/>
      <c r="CB50" s="174"/>
      <c r="CC50" s="174"/>
      <c r="CD50" s="174"/>
      <c r="CE50" s="174"/>
      <c r="CF50" s="174"/>
      <c r="CG50" s="174"/>
      <c r="CH50" s="174"/>
      <c r="CI50" s="174"/>
      <c r="CJ50" s="174"/>
      <c r="CK50" s="174"/>
      <c r="CL50" s="174"/>
      <c r="CM50" s="174"/>
      <c r="CN50" s="174"/>
      <c r="CO50" s="174"/>
      <c r="CP50" s="174"/>
      <c r="CQ50" s="174"/>
      <c r="CR50" s="174"/>
      <c r="CS50" s="174"/>
      <c r="CT50" s="174"/>
      <c r="CU50" s="174"/>
      <c r="CV50" s="174"/>
      <c r="CW50" s="174"/>
      <c r="CX50" s="174"/>
      <c r="CY50" s="174"/>
      <c r="CZ50" s="174"/>
      <c r="DA50" s="174"/>
      <c r="DB50" s="174"/>
      <c r="DC50" s="174"/>
      <c r="DD50" s="174"/>
      <c r="DE50" s="174"/>
      <c r="DF50" s="174"/>
      <c r="DG50" s="174"/>
      <c r="DH50" s="174"/>
      <c r="DI50" s="174"/>
      <c r="DJ50" s="174"/>
      <c r="DK50" s="174" t="str">
        <f>"" &amp; TEXT(AE50,"#0.00%") &amp; " " &amp; "4차 회의 (온라인)" &amp; " " &amp; IF(P50="","",TEXT(P50,"M/D-")) &amp; IF(Q50="","",TEXT(Q50,"M/D")) &amp; " "</f>
        <v xml:space="preserve">0.00% 4차 회의 (온라인) 11/21-11/21 </v>
      </c>
      <c r="DL50" s="174"/>
      <c r="DM50" s="174"/>
      <c r="DN50" s="174"/>
      <c r="DO50" s="174"/>
      <c r="DP50" s="174"/>
      <c r="DQ50" s="174"/>
      <c r="DR50" s="174"/>
      <c r="DS50" s="174"/>
      <c r="DT50" s="174"/>
      <c r="DU50" s="174"/>
      <c r="DV50" s="174"/>
      <c r="DW50" s="174"/>
      <c r="DX50" s="174"/>
      <c r="DY50" s="174"/>
    </row>
    <row r="51" spans="1:129" ht="12" customHeight="1" outlineLevel="1">
      <c r="A51" s="162"/>
      <c r="B51" s="162"/>
      <c r="C51" s="162">
        <v>2</v>
      </c>
      <c r="D51" s="163" t="s">
        <v>1671</v>
      </c>
      <c r="E51" s="164"/>
      <c r="F51" s="164" t="s">
        <v>1645</v>
      </c>
      <c r="G51" s="164"/>
      <c r="H51" s="164"/>
      <c r="I51" s="164"/>
      <c r="J51" s="164"/>
      <c r="K51" s="164"/>
      <c r="L51" s="164"/>
      <c r="M51" s="164"/>
      <c r="N51" s="164"/>
      <c r="O51" s="164"/>
      <c r="P51" s="165">
        <v>44156</v>
      </c>
      <c r="Q51" s="165">
        <v>44156</v>
      </c>
      <c r="R51" s="166"/>
      <c r="S51" s="167">
        <v>0</v>
      </c>
      <c r="T51" s="167">
        <v>0</v>
      </c>
      <c r="U51" s="167">
        <v>0</v>
      </c>
      <c r="V51" s="167">
        <v>0</v>
      </c>
      <c r="W51" s="165"/>
      <c r="X51" s="165"/>
      <c r="Y51" s="168"/>
      <c r="Z51" s="169">
        <v>0</v>
      </c>
      <c r="AA51" s="167"/>
      <c r="AB51" s="166" t="s">
        <v>1650</v>
      </c>
      <c r="AC51" s="170"/>
      <c r="AD51" s="171">
        <v>0</v>
      </c>
      <c r="AE51" s="172">
        <v>0</v>
      </c>
      <c r="AF51" s="173"/>
      <c r="AG51" s="174"/>
      <c r="AH51" s="174"/>
      <c r="AI51" s="174"/>
      <c r="AJ51" s="174"/>
      <c r="AK51" s="174"/>
      <c r="AL51" s="174"/>
      <c r="AM51" s="174"/>
      <c r="AN51" s="174"/>
      <c r="AO51" s="174"/>
      <c r="AP51" s="174"/>
      <c r="AQ51" s="174"/>
      <c r="AR51" s="174"/>
      <c r="AS51" s="174"/>
      <c r="AT51" s="174"/>
      <c r="AU51" s="174"/>
      <c r="AV51" s="174"/>
      <c r="AW51" s="174"/>
      <c r="AX51" s="174"/>
      <c r="AY51" s="174"/>
      <c r="AZ51" s="174"/>
      <c r="BA51" s="174"/>
      <c r="BB51" s="174"/>
      <c r="BC51" s="174"/>
      <c r="BD51" s="174"/>
      <c r="BE51" s="174"/>
      <c r="BF51" s="174"/>
      <c r="BG51" s="174"/>
      <c r="BH51" s="174"/>
      <c r="BI51" s="174"/>
      <c r="BJ51" s="174"/>
      <c r="BK51" s="174"/>
      <c r="BL51" s="174"/>
      <c r="BM51" s="174"/>
      <c r="BN51" s="174"/>
      <c r="BO51" s="174"/>
      <c r="BP51" s="174"/>
      <c r="BQ51" s="174"/>
      <c r="BR51" s="174"/>
      <c r="BS51" s="174"/>
      <c r="BT51" s="174"/>
      <c r="BU51" s="174"/>
      <c r="BV51" s="174"/>
      <c r="BW51" s="174"/>
      <c r="BX51" s="174"/>
      <c r="BY51" s="174"/>
      <c r="BZ51" s="174"/>
      <c r="CA51" s="174"/>
      <c r="CB51" s="174"/>
      <c r="CC51" s="174"/>
      <c r="CD51" s="174"/>
      <c r="CE51" s="174"/>
      <c r="CF51" s="174"/>
      <c r="CG51" s="174"/>
      <c r="CH51" s="174"/>
      <c r="CI51" s="174"/>
      <c r="CJ51" s="174"/>
      <c r="CK51" s="174"/>
      <c r="CL51" s="174"/>
      <c r="CM51" s="174"/>
      <c r="CN51" s="174"/>
      <c r="CO51" s="174"/>
      <c r="CP51" s="174"/>
      <c r="CQ51" s="174"/>
      <c r="CR51" s="174"/>
      <c r="CS51" s="174"/>
      <c r="CT51" s="174"/>
      <c r="CU51" s="174"/>
      <c r="CV51" s="174"/>
      <c r="CW51" s="174"/>
      <c r="CX51" s="174"/>
      <c r="CY51" s="174"/>
      <c r="CZ51" s="174"/>
      <c r="DA51" s="174"/>
      <c r="DB51" s="174"/>
      <c r="DC51" s="174"/>
      <c r="DD51" s="174"/>
      <c r="DE51" s="174"/>
      <c r="DF51" s="174"/>
      <c r="DG51" s="174"/>
      <c r="DH51" s="174"/>
      <c r="DI51" s="174"/>
      <c r="DJ51" s="174"/>
      <c r="DK51" s="174" t="str">
        <f>"" &amp; TEXT(AE51,"#0.00%") &amp; " " &amp; "코드 통합" &amp; "(김민수, 박지민, 남인우)" &amp; " " &amp; IF(P51="","",TEXT(P51,"M/D-")) &amp; IF(Q51="","",TEXT(Q51,"M/D")) &amp; " "</f>
        <v xml:space="preserve">0.00% 코드 통합(김민수, 박지민, 남인우) 11/21-11/21 </v>
      </c>
      <c r="DL51" s="174"/>
      <c r="DM51" s="174"/>
      <c r="DN51" s="174"/>
      <c r="DO51" s="174"/>
      <c r="DP51" s="174"/>
      <c r="DQ51" s="174"/>
      <c r="DR51" s="174"/>
      <c r="DS51" s="174"/>
      <c r="DT51" s="174"/>
      <c r="DU51" s="174"/>
      <c r="DV51" s="174"/>
      <c r="DW51" s="174"/>
      <c r="DX51" s="174"/>
      <c r="DY51" s="174"/>
    </row>
    <row r="52" spans="1:129" ht="12" customHeight="1" outlineLevel="1">
      <c r="A52" s="162"/>
      <c r="B52" s="162"/>
      <c r="C52" s="162">
        <v>2</v>
      </c>
      <c r="D52" s="163" t="s">
        <v>1672</v>
      </c>
      <c r="E52" s="164"/>
      <c r="F52" s="164" t="s">
        <v>1644</v>
      </c>
      <c r="G52" s="164"/>
      <c r="H52" s="164"/>
      <c r="I52" s="164"/>
      <c r="J52" s="164"/>
      <c r="K52" s="164"/>
      <c r="L52" s="164"/>
      <c r="M52" s="164"/>
      <c r="N52" s="164"/>
      <c r="O52" s="164"/>
      <c r="P52" s="165">
        <v>44156</v>
      </c>
      <c r="Q52" s="165">
        <v>44156</v>
      </c>
      <c r="R52" s="166"/>
      <c r="S52" s="167">
        <v>0</v>
      </c>
      <c r="T52" s="167">
        <v>0</v>
      </c>
      <c r="U52" s="167">
        <v>0</v>
      </c>
      <c r="V52" s="167">
        <v>0</v>
      </c>
      <c r="W52" s="165"/>
      <c r="X52" s="165"/>
      <c r="Y52" s="168"/>
      <c r="Z52" s="169">
        <v>0</v>
      </c>
      <c r="AA52" s="167"/>
      <c r="AB52" s="166" t="s">
        <v>1619</v>
      </c>
      <c r="AC52" s="170"/>
      <c r="AD52" s="171">
        <v>0</v>
      </c>
      <c r="AE52" s="172">
        <v>0</v>
      </c>
      <c r="AF52" s="173"/>
      <c r="AG52" s="174"/>
      <c r="AH52" s="174"/>
      <c r="AI52" s="174"/>
      <c r="AJ52" s="174"/>
      <c r="AK52" s="174"/>
      <c r="AL52" s="174"/>
      <c r="AM52" s="174"/>
      <c r="AN52" s="174"/>
      <c r="AO52" s="174"/>
      <c r="AP52" s="174"/>
      <c r="AQ52" s="174"/>
      <c r="AR52" s="174"/>
      <c r="AS52" s="174"/>
      <c r="AT52" s="174"/>
      <c r="AU52" s="174"/>
      <c r="AV52" s="174"/>
      <c r="AW52" s="174"/>
      <c r="AX52" s="174"/>
      <c r="AY52" s="174"/>
      <c r="AZ52" s="174"/>
      <c r="BA52" s="174"/>
      <c r="BB52" s="174"/>
      <c r="BC52" s="174"/>
      <c r="BD52" s="174"/>
      <c r="BE52" s="174"/>
      <c r="BF52" s="174"/>
      <c r="BG52" s="174"/>
      <c r="BH52" s="174"/>
      <c r="BI52" s="174"/>
      <c r="BJ52" s="174"/>
      <c r="BK52" s="174"/>
      <c r="BL52" s="174"/>
      <c r="BM52" s="174"/>
      <c r="BN52" s="174"/>
      <c r="BO52" s="174"/>
      <c r="BP52" s="174"/>
      <c r="BQ52" s="174"/>
      <c r="BR52" s="174"/>
      <c r="BS52" s="174"/>
      <c r="BT52" s="174"/>
      <c r="BU52" s="174"/>
      <c r="BV52" s="174"/>
      <c r="BW52" s="174"/>
      <c r="BX52" s="174"/>
      <c r="BY52" s="174"/>
      <c r="BZ52" s="174"/>
      <c r="CA52" s="174"/>
      <c r="CB52" s="174"/>
      <c r="CC52" s="174"/>
      <c r="CD52" s="174"/>
      <c r="CE52" s="174"/>
      <c r="CF52" s="174"/>
      <c r="CG52" s="174"/>
      <c r="CH52" s="174"/>
      <c r="CI52" s="174"/>
      <c r="CJ52" s="174"/>
      <c r="CK52" s="174"/>
      <c r="CL52" s="174"/>
      <c r="CM52" s="174"/>
      <c r="CN52" s="174"/>
      <c r="CO52" s="174"/>
      <c r="CP52" s="174"/>
      <c r="CQ52" s="174"/>
      <c r="CR52" s="174"/>
      <c r="CS52" s="174"/>
      <c r="CT52" s="174"/>
      <c r="CU52" s="174"/>
      <c r="CV52" s="174"/>
      <c r="CW52" s="174"/>
      <c r="CX52" s="174"/>
      <c r="CY52" s="174"/>
      <c r="CZ52" s="174"/>
      <c r="DA52" s="174"/>
      <c r="DB52" s="174"/>
      <c r="DC52" s="174"/>
      <c r="DD52" s="174"/>
      <c r="DE52" s="174"/>
      <c r="DF52" s="174"/>
      <c r="DG52" s="174"/>
      <c r="DH52" s="174"/>
      <c r="DI52" s="174"/>
      <c r="DJ52" s="174"/>
      <c r="DK52" s="174" t="str">
        <f>"" &amp; TEXT(AE52,"#0.00%") &amp; " " &amp; "역공학으로 문서 검증" &amp; "(조동현)" &amp; " " &amp; IF(P52="","",TEXT(P52,"M/D-")) &amp; IF(Q52="","",TEXT(Q52,"M/D")) &amp; " "</f>
        <v xml:space="preserve">0.00% 역공학으로 문서 검증(조동현) 11/21-11/21 </v>
      </c>
      <c r="DL52" s="174"/>
      <c r="DM52" s="174"/>
      <c r="DN52" s="174"/>
      <c r="DO52" s="174"/>
      <c r="DP52" s="174"/>
      <c r="DQ52" s="174"/>
      <c r="DR52" s="174"/>
      <c r="DS52" s="174"/>
      <c r="DT52" s="174"/>
      <c r="DU52" s="174"/>
      <c r="DV52" s="174"/>
      <c r="DW52" s="174"/>
      <c r="DX52" s="174"/>
      <c r="DY52" s="174"/>
    </row>
    <row r="53" spans="1:129" ht="12" customHeight="1">
      <c r="A53" s="162"/>
      <c r="B53" s="162" t="s">
        <v>1437</v>
      </c>
      <c r="C53" s="162">
        <v>1</v>
      </c>
      <c r="D53" s="163" t="s">
        <v>1122</v>
      </c>
      <c r="E53" s="164" t="s">
        <v>1647</v>
      </c>
      <c r="F53" s="164"/>
      <c r="G53" s="164"/>
      <c r="H53" s="164"/>
      <c r="I53" s="164"/>
      <c r="J53" s="164"/>
      <c r="K53" s="164"/>
      <c r="L53" s="164"/>
      <c r="M53" s="164"/>
      <c r="N53" s="164"/>
      <c r="O53" s="164"/>
      <c r="P53" s="165">
        <v>44165</v>
      </c>
      <c r="Q53" s="165">
        <v>44165</v>
      </c>
      <c r="R53" s="166"/>
      <c r="S53" s="167">
        <v>4</v>
      </c>
      <c r="T53" s="167">
        <v>0</v>
      </c>
      <c r="U53" s="167">
        <v>1</v>
      </c>
      <c r="V53" s="167">
        <v>0</v>
      </c>
      <c r="W53" s="165"/>
      <c r="X53" s="165"/>
      <c r="Y53" s="168">
        <v>0</v>
      </c>
      <c r="Z53" s="169">
        <v>0</v>
      </c>
      <c r="AA53" s="167"/>
      <c r="AB53" s="166"/>
      <c r="AC53" s="170"/>
      <c r="AD53" s="171">
        <v>0</v>
      </c>
      <c r="AE53" s="172">
        <v>0</v>
      </c>
      <c r="AF53" s="173"/>
      <c r="AG53" s="174"/>
      <c r="AH53" s="174"/>
      <c r="AI53" s="174"/>
      <c r="AJ53" s="174"/>
      <c r="AK53" s="174"/>
      <c r="AL53" s="174"/>
      <c r="AM53" s="174"/>
      <c r="AN53" s="174"/>
      <c r="AO53" s="174"/>
      <c r="AP53" s="174"/>
      <c r="AQ53" s="174"/>
      <c r="AR53" s="174"/>
      <c r="AS53" s="174"/>
      <c r="AT53" s="174"/>
      <c r="AU53" s="174"/>
      <c r="AV53" s="174"/>
      <c r="AW53" s="174"/>
      <c r="AX53" s="174"/>
      <c r="AY53" s="174"/>
      <c r="AZ53" s="174"/>
      <c r="BA53" s="174"/>
      <c r="BB53" s="174"/>
      <c r="BC53" s="174"/>
      <c r="BD53" s="174"/>
      <c r="BE53" s="174"/>
      <c r="BF53" s="174"/>
      <c r="BG53" s="174"/>
      <c r="BH53" s="174"/>
      <c r="BI53" s="174"/>
      <c r="BJ53" s="174"/>
      <c r="BK53" s="174"/>
      <c r="BL53" s="174"/>
      <c r="BM53" s="174"/>
      <c r="BN53" s="174"/>
      <c r="BO53" s="174"/>
      <c r="BP53" s="174"/>
      <c r="BQ53" s="174"/>
      <c r="BR53" s="174"/>
      <c r="BS53" s="174"/>
      <c r="BT53" s="174"/>
      <c r="BU53" s="174"/>
      <c r="BV53" s="174"/>
      <c r="BW53" s="174"/>
      <c r="BX53" s="174"/>
      <c r="BY53" s="174"/>
      <c r="BZ53" s="174"/>
      <c r="CA53" s="174"/>
      <c r="CB53" s="174"/>
      <c r="CC53" s="174"/>
      <c r="CD53" s="174"/>
      <c r="CE53" s="174"/>
      <c r="CF53" s="174"/>
      <c r="CG53" s="174"/>
      <c r="CH53" s="174"/>
      <c r="CI53" s="174"/>
      <c r="CJ53" s="174"/>
      <c r="CK53" s="174"/>
      <c r="CL53" s="174"/>
      <c r="CM53" s="174"/>
      <c r="CN53" s="174"/>
      <c r="CO53" s="174"/>
      <c r="CP53" s="174"/>
      <c r="CQ53" s="174"/>
      <c r="CR53" s="174"/>
      <c r="CS53" s="174"/>
      <c r="CT53" s="174"/>
      <c r="CU53" s="174"/>
      <c r="CV53" s="174"/>
      <c r="CW53" s="174"/>
      <c r="CX53" s="174"/>
      <c r="CY53" s="174"/>
      <c r="CZ53" s="174"/>
      <c r="DA53" s="174"/>
      <c r="DB53" s="174"/>
      <c r="DC53" s="174"/>
      <c r="DD53" s="174"/>
      <c r="DE53" s="174"/>
      <c r="DF53" s="174"/>
      <c r="DG53" s="174"/>
      <c r="DH53" s="174"/>
      <c r="DI53" s="174"/>
      <c r="DJ53" s="174"/>
      <c r="DK53" s="174"/>
      <c r="DL53" s="174"/>
      <c r="DM53" s="174"/>
      <c r="DN53" s="174"/>
      <c r="DO53" s="174"/>
      <c r="DP53" s="174"/>
      <c r="DQ53" s="174"/>
      <c r="DR53" s="174"/>
      <c r="DS53" s="174"/>
      <c r="DT53" s="174" t="str">
        <f>"" &amp; TEXT(AE53,"#0.00%") &amp; " " &amp; "5차 회의 (예정)" &amp; " " &amp; IF(P53="","",TEXT(P53,"M/D-")) &amp; IF(Q53="","",TEXT(Q53,"M/D")) &amp; " "</f>
        <v xml:space="preserve">0.00% 5차 회의 (예정) 11/30-11/30 </v>
      </c>
      <c r="DU53" s="174"/>
      <c r="DV53" s="174"/>
      <c r="DW53" s="174"/>
      <c r="DX53" s="174"/>
      <c r="DY53" s="174"/>
    </row>
    <row r="54" spans="1:129" ht="12" customHeight="1" outlineLevel="1">
      <c r="A54" s="162"/>
      <c r="B54" s="162"/>
      <c r="C54" s="162">
        <v>2</v>
      </c>
      <c r="D54" s="163" t="s">
        <v>1673</v>
      </c>
      <c r="E54" s="164"/>
      <c r="F54" s="164" t="s">
        <v>1648</v>
      </c>
      <c r="G54" s="164"/>
      <c r="H54" s="164"/>
      <c r="I54" s="164"/>
      <c r="J54" s="164"/>
      <c r="K54" s="164"/>
      <c r="L54" s="164"/>
      <c r="M54" s="164"/>
      <c r="N54" s="164"/>
      <c r="O54" s="164"/>
      <c r="P54" s="165">
        <v>44165</v>
      </c>
      <c r="Q54" s="165">
        <v>44165</v>
      </c>
      <c r="R54" s="166"/>
      <c r="S54" s="167">
        <v>2</v>
      </c>
      <c r="T54" s="167">
        <v>0</v>
      </c>
      <c r="U54" s="167">
        <v>1</v>
      </c>
      <c r="V54" s="167">
        <v>0</v>
      </c>
      <c r="W54" s="165"/>
      <c r="X54" s="165"/>
      <c r="Y54" s="168"/>
      <c r="Z54" s="169">
        <v>0</v>
      </c>
      <c r="AA54" s="167"/>
      <c r="AB54" s="166" t="s">
        <v>1651</v>
      </c>
      <c r="AC54" s="170"/>
      <c r="AD54" s="171">
        <v>0</v>
      </c>
      <c r="AE54" s="172">
        <v>0</v>
      </c>
      <c r="AF54" s="173"/>
      <c r="AG54" s="174"/>
      <c r="AH54" s="174"/>
      <c r="AI54" s="174"/>
      <c r="AJ54" s="174"/>
      <c r="AK54" s="174"/>
      <c r="AL54" s="174"/>
      <c r="AM54" s="174"/>
      <c r="AN54" s="174"/>
      <c r="AO54" s="174"/>
      <c r="AP54" s="174"/>
      <c r="AQ54" s="174"/>
      <c r="AR54" s="174"/>
      <c r="AS54" s="174"/>
      <c r="AT54" s="174"/>
      <c r="AU54" s="174"/>
      <c r="AV54" s="174"/>
      <c r="AW54" s="174"/>
      <c r="AX54" s="174"/>
      <c r="AY54" s="174"/>
      <c r="AZ54" s="174"/>
      <c r="BA54" s="174"/>
      <c r="BB54" s="174"/>
      <c r="BC54" s="174"/>
      <c r="BD54" s="174"/>
      <c r="BE54" s="174"/>
      <c r="BF54" s="174"/>
      <c r="BG54" s="174"/>
      <c r="BH54" s="174"/>
      <c r="BI54" s="174"/>
      <c r="BJ54" s="174"/>
      <c r="BK54" s="174"/>
      <c r="BL54" s="174"/>
      <c r="BM54" s="174"/>
      <c r="BN54" s="174"/>
      <c r="BO54" s="174"/>
      <c r="BP54" s="174"/>
      <c r="BQ54" s="174"/>
      <c r="BR54" s="174"/>
      <c r="BS54" s="174"/>
      <c r="BT54" s="174"/>
      <c r="BU54" s="174"/>
      <c r="BV54" s="174"/>
      <c r="BW54" s="174"/>
      <c r="BX54" s="174"/>
      <c r="BY54" s="174"/>
      <c r="BZ54" s="174"/>
      <c r="CA54" s="174"/>
      <c r="CB54" s="174"/>
      <c r="CC54" s="174"/>
      <c r="CD54" s="174"/>
      <c r="CE54" s="174"/>
      <c r="CF54" s="174"/>
      <c r="CG54" s="174"/>
      <c r="CH54" s="174"/>
      <c r="CI54" s="174"/>
      <c r="CJ54" s="174"/>
      <c r="CK54" s="174"/>
      <c r="CL54" s="174"/>
      <c r="CM54" s="174"/>
      <c r="CN54" s="174"/>
      <c r="CO54" s="174"/>
      <c r="CP54" s="174"/>
      <c r="CQ54" s="174"/>
      <c r="CR54" s="174"/>
      <c r="CS54" s="174"/>
      <c r="CT54" s="174"/>
      <c r="CU54" s="174"/>
      <c r="CV54" s="174"/>
      <c r="CW54" s="174"/>
      <c r="CX54" s="174"/>
      <c r="CY54" s="174"/>
      <c r="CZ54" s="174"/>
      <c r="DA54" s="174"/>
      <c r="DB54" s="174"/>
      <c r="DC54" s="174"/>
      <c r="DD54" s="174"/>
      <c r="DE54" s="174"/>
      <c r="DF54" s="174"/>
      <c r="DG54" s="174"/>
      <c r="DH54" s="174"/>
      <c r="DI54" s="174"/>
      <c r="DJ54" s="174"/>
      <c r="DK54" s="174"/>
      <c r="DL54" s="174"/>
      <c r="DM54" s="174"/>
      <c r="DN54" s="174"/>
      <c r="DO54" s="174"/>
      <c r="DP54" s="174"/>
      <c r="DQ54" s="174"/>
      <c r="DR54" s="174"/>
      <c r="DS54" s="174"/>
      <c r="DT54" s="174" t="str">
        <f>"" &amp; TEXT(AE54,"#0.00%") &amp; " " &amp; "문서 최종화" &amp; "(남인우, 조동현)" &amp; " " &amp; IF(P54="","",TEXT(P54,"M/D-")) &amp; IF(Q54="","",TEXT(Q54,"M/D")) &amp; " "</f>
        <v xml:space="preserve">0.00% 문서 최종화(남인우, 조동현) 11/30-11/30 </v>
      </c>
      <c r="DU54" s="174"/>
      <c r="DV54" s="174"/>
      <c r="DW54" s="174"/>
      <c r="DX54" s="174"/>
      <c r="DY54" s="174"/>
    </row>
    <row r="55" spans="1:129" ht="12" customHeight="1" outlineLevel="1">
      <c r="A55" s="162"/>
      <c r="B55" s="162"/>
      <c r="C55" s="162">
        <v>2</v>
      </c>
      <c r="D55" s="163" t="s">
        <v>1674</v>
      </c>
      <c r="E55" s="164"/>
      <c r="F55" s="164" t="s">
        <v>1649</v>
      </c>
      <c r="G55" s="164"/>
      <c r="H55" s="164"/>
      <c r="I55" s="164"/>
      <c r="J55" s="164"/>
      <c r="K55" s="164"/>
      <c r="L55" s="164"/>
      <c r="M55" s="164"/>
      <c r="N55" s="164"/>
      <c r="O55" s="164"/>
      <c r="P55" s="165">
        <v>44165</v>
      </c>
      <c r="Q55" s="165">
        <v>44165</v>
      </c>
      <c r="R55" s="166"/>
      <c r="S55" s="167">
        <v>2</v>
      </c>
      <c r="T55" s="167">
        <v>0</v>
      </c>
      <c r="U55" s="167">
        <v>1</v>
      </c>
      <c r="V55" s="167">
        <v>0</v>
      </c>
      <c r="W55" s="165"/>
      <c r="X55" s="165"/>
      <c r="Y55" s="168"/>
      <c r="Z55" s="169">
        <v>0</v>
      </c>
      <c r="AA55" s="167"/>
      <c r="AB55" s="166" t="s">
        <v>1592</v>
      </c>
      <c r="AC55" s="170"/>
      <c r="AD55" s="171">
        <v>0</v>
      </c>
      <c r="AE55" s="172">
        <v>0</v>
      </c>
      <c r="AF55" s="173"/>
      <c r="AG55" s="174"/>
      <c r="AH55" s="174"/>
      <c r="AI55" s="174"/>
      <c r="AJ55" s="174"/>
      <c r="AK55" s="174"/>
      <c r="AL55" s="174"/>
      <c r="AM55" s="174"/>
      <c r="AN55" s="174"/>
      <c r="AO55" s="174"/>
      <c r="AP55" s="174"/>
      <c r="AQ55" s="174"/>
      <c r="AR55" s="174"/>
      <c r="AS55" s="174"/>
      <c r="AT55" s="174"/>
      <c r="AU55" s="174"/>
      <c r="AV55" s="174"/>
      <c r="AW55" s="174"/>
      <c r="AX55" s="174"/>
      <c r="AY55" s="174"/>
      <c r="AZ55" s="174"/>
      <c r="BA55" s="174"/>
      <c r="BB55" s="174"/>
      <c r="BC55" s="174"/>
      <c r="BD55" s="174"/>
      <c r="BE55" s="174"/>
      <c r="BF55" s="174"/>
      <c r="BG55" s="174"/>
      <c r="BH55" s="174"/>
      <c r="BI55" s="174"/>
      <c r="BJ55" s="174"/>
      <c r="BK55" s="174"/>
      <c r="BL55" s="174"/>
      <c r="BM55" s="174"/>
      <c r="BN55" s="174"/>
      <c r="BO55" s="174"/>
      <c r="BP55" s="174"/>
      <c r="BQ55" s="174"/>
      <c r="BR55" s="174"/>
      <c r="BS55" s="174"/>
      <c r="BT55" s="174"/>
      <c r="BU55" s="174"/>
      <c r="BV55" s="174"/>
      <c r="BW55" s="174"/>
      <c r="BX55" s="174"/>
      <c r="BY55" s="174"/>
      <c r="BZ55" s="174"/>
      <c r="CA55" s="174"/>
      <c r="CB55" s="174"/>
      <c r="CC55" s="174"/>
      <c r="CD55" s="174"/>
      <c r="CE55" s="174"/>
      <c r="CF55" s="174"/>
      <c r="CG55" s="174"/>
      <c r="CH55" s="174"/>
      <c r="CI55" s="174"/>
      <c r="CJ55" s="174"/>
      <c r="CK55" s="174"/>
      <c r="CL55" s="174"/>
      <c r="CM55" s="174"/>
      <c r="CN55" s="174"/>
      <c r="CO55" s="174"/>
      <c r="CP55" s="174"/>
      <c r="CQ55" s="174"/>
      <c r="CR55" s="174"/>
      <c r="CS55" s="174"/>
      <c r="CT55" s="174"/>
      <c r="CU55" s="174"/>
      <c r="CV55" s="174"/>
      <c r="CW55" s="174"/>
      <c r="CX55" s="174"/>
      <c r="CY55" s="174"/>
      <c r="CZ55" s="174"/>
      <c r="DA55" s="174"/>
      <c r="DB55" s="174"/>
      <c r="DC55" s="174"/>
      <c r="DD55" s="174"/>
      <c r="DE55" s="174"/>
      <c r="DF55" s="174"/>
      <c r="DG55" s="174"/>
      <c r="DH55" s="174"/>
      <c r="DI55" s="174"/>
      <c r="DJ55" s="174"/>
      <c r="DK55" s="174"/>
      <c r="DL55" s="174"/>
      <c r="DM55" s="174"/>
      <c r="DN55" s="174"/>
      <c r="DO55" s="174"/>
      <c r="DP55" s="174"/>
      <c r="DQ55" s="174"/>
      <c r="DR55" s="174"/>
      <c r="DS55" s="174"/>
      <c r="DT55" s="174" t="str">
        <f>"" &amp; TEXT(AE55,"#0.00%") &amp; " " &amp; "시스템 최종 수정" &amp; "(김민수, 박지민)" &amp; " " &amp; IF(P55="","",TEXT(P55,"M/D-")) &amp; IF(Q55="","",TEXT(Q55,"M/D")) &amp; " "</f>
        <v xml:space="preserve">0.00% 시스템 최종 수정(김민수, 박지민) 11/30-11/30 </v>
      </c>
      <c r="DU55" s="174"/>
      <c r="DV55" s="174"/>
      <c r="DW55" s="174"/>
      <c r="DX55" s="174"/>
      <c r="DY55" s="174"/>
    </row>
    <row r="56" spans="1:129" ht="12" customHeight="1">
      <c r="A56" s="228"/>
      <c r="B56" s="228"/>
      <c r="C56" s="228">
        <v>4</v>
      </c>
      <c r="D56" s="229"/>
      <c r="E56" s="230"/>
      <c r="F56" s="230"/>
      <c r="G56" s="230"/>
      <c r="H56" s="230"/>
      <c r="I56" s="230"/>
      <c r="J56" s="230"/>
      <c r="K56" s="230"/>
      <c r="L56" s="230"/>
      <c r="M56" s="230"/>
      <c r="N56" s="230"/>
      <c r="O56" s="230"/>
      <c r="P56" s="231"/>
      <c r="Q56" s="231"/>
      <c r="R56" s="232"/>
      <c r="S56" s="233"/>
      <c r="T56" s="233"/>
      <c r="U56" s="233"/>
      <c r="V56" s="233"/>
      <c r="W56" s="231"/>
      <c r="X56" s="231"/>
      <c r="Y56" s="234"/>
      <c r="Z56" s="235"/>
      <c r="AA56" s="233"/>
      <c r="AB56" s="232"/>
      <c r="AC56" s="236"/>
      <c r="AD56" s="237"/>
      <c r="AE56" s="238"/>
      <c r="AF56" s="175"/>
      <c r="AG56" s="175"/>
      <c r="AH56" s="175"/>
      <c r="AI56" s="175"/>
      <c r="AJ56" s="175"/>
      <c r="AK56" s="175"/>
      <c r="AL56" s="175"/>
      <c r="AM56" s="175"/>
      <c r="AN56" s="175"/>
      <c r="AO56" s="175"/>
      <c r="AP56" s="175"/>
      <c r="AQ56" s="175"/>
      <c r="AR56" s="175"/>
      <c r="AS56" s="175"/>
      <c r="AT56" s="175"/>
      <c r="AU56" s="175"/>
      <c r="AV56" s="175"/>
      <c r="AW56" s="175"/>
      <c r="AX56" s="175"/>
      <c r="AY56" s="175"/>
      <c r="AZ56" s="175"/>
      <c r="BA56" s="175"/>
      <c r="BB56" s="175"/>
      <c r="BC56" s="175"/>
      <c r="BD56" s="175"/>
      <c r="BE56" s="175"/>
      <c r="BF56" s="175"/>
      <c r="BG56" s="175"/>
      <c r="BH56" s="175"/>
      <c r="BI56" s="175"/>
      <c r="BJ56" s="175"/>
      <c r="BK56" s="175"/>
      <c r="BL56" s="175"/>
      <c r="BM56" s="175"/>
      <c r="BN56" s="175"/>
      <c r="BO56" s="175"/>
      <c r="BP56" s="175"/>
      <c r="BQ56" s="175"/>
      <c r="BR56" s="175"/>
      <c r="BS56" s="175"/>
      <c r="BT56" s="175"/>
      <c r="BU56" s="175"/>
      <c r="BV56" s="175"/>
      <c r="BW56" s="175"/>
      <c r="BX56" s="175"/>
      <c r="BY56" s="175"/>
      <c r="BZ56" s="175"/>
      <c r="CA56" s="175"/>
      <c r="CB56" s="175"/>
      <c r="CC56" s="175"/>
      <c r="CD56" s="175"/>
      <c r="CE56" s="175"/>
      <c r="CF56" s="175"/>
      <c r="CG56" s="175"/>
      <c r="CH56" s="175"/>
      <c r="CI56" s="175"/>
      <c r="CJ56" s="175"/>
      <c r="CK56" s="175"/>
      <c r="CL56" s="175"/>
      <c r="CM56" s="175"/>
      <c r="CN56" s="175"/>
      <c r="CO56" s="175"/>
      <c r="CP56" s="175"/>
      <c r="CQ56" s="175"/>
      <c r="CR56" s="175"/>
      <c r="CS56" s="175"/>
      <c r="CT56" s="175"/>
      <c r="CU56" s="175"/>
      <c r="CV56" s="175"/>
      <c r="CW56" s="175"/>
      <c r="CX56" s="175"/>
      <c r="CY56" s="175"/>
      <c r="CZ56" s="175"/>
      <c r="DA56" s="175"/>
      <c r="DB56" s="175"/>
      <c r="DC56" s="175"/>
      <c r="DD56" s="175"/>
      <c r="DE56" s="175"/>
      <c r="DF56" s="175"/>
      <c r="DG56" s="175"/>
      <c r="DH56" s="175"/>
      <c r="DI56" s="175"/>
      <c r="DJ56" s="175"/>
      <c r="DK56" s="175"/>
      <c r="DL56" s="175"/>
      <c r="DM56" s="175"/>
      <c r="DN56" s="175"/>
      <c r="DO56" s="175"/>
      <c r="DP56" s="175"/>
      <c r="DQ56" s="175"/>
      <c r="DR56" s="175"/>
      <c r="DS56" s="175"/>
      <c r="DT56" s="175"/>
      <c r="DU56" s="175"/>
      <c r="DV56" s="175"/>
      <c r="DW56" s="175"/>
      <c r="DX56" s="175"/>
      <c r="DY56" s="175"/>
    </row>
    <row r="57" spans="1:129" ht="12" customHeight="1">
      <c r="A57" s="162"/>
      <c r="B57" s="162"/>
      <c r="C57" s="162">
        <v>4</v>
      </c>
      <c r="D57" s="163"/>
      <c r="E57" s="164"/>
      <c r="F57" s="164"/>
      <c r="G57" s="164"/>
      <c r="H57" s="164"/>
      <c r="I57" s="164"/>
      <c r="J57" s="164"/>
      <c r="K57" s="164"/>
      <c r="L57" s="164"/>
      <c r="M57" s="164"/>
      <c r="N57" s="164"/>
      <c r="O57" s="164"/>
      <c r="P57" s="165"/>
      <c r="Q57" s="165"/>
      <c r="R57" s="166"/>
      <c r="S57" s="167"/>
      <c r="T57" s="167"/>
      <c r="U57" s="167"/>
      <c r="V57" s="167"/>
      <c r="W57" s="165"/>
      <c r="X57" s="165"/>
      <c r="Y57" s="168"/>
      <c r="Z57" s="169"/>
      <c r="AA57" s="167"/>
      <c r="AB57" s="166"/>
      <c r="AC57" s="170"/>
      <c r="AD57" s="171"/>
      <c r="AE57" s="172"/>
    </row>
    <row r="58" spans="1:129" ht="12" customHeight="1">
      <c r="A58" s="162">
        <v>1</v>
      </c>
      <c r="B58" s="162"/>
      <c r="C58" s="162">
        <v>4</v>
      </c>
      <c r="D58" s="163"/>
      <c r="E58" s="164"/>
      <c r="F58" s="164"/>
      <c r="G58" s="164"/>
      <c r="H58" s="164"/>
      <c r="I58" s="164"/>
      <c r="J58" s="164"/>
      <c r="K58" s="164"/>
      <c r="L58" s="164"/>
      <c r="M58" s="164"/>
      <c r="N58" s="164"/>
      <c r="O58" s="164"/>
      <c r="P58" s="165"/>
      <c r="Q58" s="165"/>
      <c r="R58" s="166"/>
      <c r="S58" s="167"/>
      <c r="T58" s="167"/>
      <c r="U58" s="167"/>
      <c r="V58" s="167"/>
      <c r="W58" s="165"/>
      <c r="X58" s="165"/>
      <c r="Y58" s="168"/>
      <c r="Z58" s="169"/>
      <c r="AA58" s="167"/>
      <c r="AB58" s="166"/>
      <c r="AC58" s="170"/>
      <c r="AD58" s="171"/>
      <c r="AE58" s="172"/>
    </row>
    <row r="59" spans="1:129" ht="12" customHeight="1">
      <c r="A59" s="177"/>
      <c r="B59" s="177"/>
      <c r="C59" s="177"/>
      <c r="D59" s="178"/>
      <c r="E59" s="179"/>
      <c r="F59" s="179"/>
      <c r="G59" s="179"/>
      <c r="H59" s="179"/>
      <c r="I59" s="179"/>
      <c r="J59" s="179"/>
      <c r="K59" s="179"/>
      <c r="L59" s="179"/>
      <c r="M59" s="179"/>
      <c r="N59" s="179"/>
      <c r="O59" s="179"/>
      <c r="P59" s="180"/>
      <c r="Q59" s="180"/>
      <c r="R59" s="181"/>
      <c r="S59" s="182"/>
      <c r="T59" s="182"/>
      <c r="U59" s="182"/>
      <c r="V59" s="182"/>
      <c r="W59" s="180"/>
      <c r="X59" s="180"/>
      <c r="Y59" s="183"/>
      <c r="Z59" s="184"/>
      <c r="AA59" s="182"/>
      <c r="AB59" s="181"/>
      <c r="AC59" s="185"/>
      <c r="AD59" s="186"/>
      <c r="AE59" s="187"/>
    </row>
  </sheetData>
  <sheetProtection formatCells="0" formatColumns="0" formatRows="0" insertColumns="0" insertRows="0" insertHyperlinks="0" deleteColumns="0" deleteRows="0" sort="0" autoFilter="0" pivotTables="0"/>
  <dataConsolidate/>
  <mergeCells count="51">
    <mergeCell ref="AE3:AE4"/>
    <mergeCell ref="S3:S4"/>
    <mergeCell ref="R3:R4"/>
    <mergeCell ref="T3:T4"/>
    <mergeCell ref="W3:W4"/>
    <mergeCell ref="AD3:AD4"/>
    <mergeCell ref="AC3:AC4"/>
    <mergeCell ref="AA3:AA4"/>
    <mergeCell ref="AB3:AB4"/>
    <mergeCell ref="D2:F2"/>
    <mergeCell ref="O3:O4"/>
    <mergeCell ref="V3:V4"/>
    <mergeCell ref="X3:X4"/>
    <mergeCell ref="Z3:Z4"/>
    <mergeCell ref="P3:P4"/>
    <mergeCell ref="Q3:Q4"/>
    <mergeCell ref="U3:U4"/>
    <mergeCell ref="Y3:Y4"/>
    <mergeCell ref="A3:A4"/>
    <mergeCell ref="B3:B4"/>
    <mergeCell ref="C3:C4"/>
    <mergeCell ref="D3:D4"/>
    <mergeCell ref="E3:N4"/>
    <mergeCell ref="AF3:AL3"/>
    <mergeCell ref="AF2:AL2"/>
    <mergeCell ref="AM3:AS3"/>
    <mergeCell ref="AM2:AS2"/>
    <mergeCell ref="AT3:AZ3"/>
    <mergeCell ref="AT2:AZ2"/>
    <mergeCell ref="BA3:BG3"/>
    <mergeCell ref="BA2:BG2"/>
    <mergeCell ref="BH3:BN3"/>
    <mergeCell ref="BH2:BN2"/>
    <mergeCell ref="BO3:BU3"/>
    <mergeCell ref="BO2:BU2"/>
    <mergeCell ref="BV3:CB3"/>
    <mergeCell ref="BV2:CB2"/>
    <mergeCell ref="CC3:CI3"/>
    <mergeCell ref="CC2:CI2"/>
    <mergeCell ref="CJ3:CP3"/>
    <mergeCell ref="CJ2:CP2"/>
    <mergeCell ref="DL3:DR3"/>
    <mergeCell ref="DL2:DR2"/>
    <mergeCell ref="DS3:DY3"/>
    <mergeCell ref="DS2:DY2"/>
    <mergeCell ref="CQ3:CW3"/>
    <mergeCell ref="CQ2:CW2"/>
    <mergeCell ref="CX3:DD3"/>
    <mergeCell ref="CX2:DD2"/>
    <mergeCell ref="DE3:DK3"/>
    <mergeCell ref="DE2:DK2"/>
  </mergeCells>
  <phoneticPr fontId="4" type="noConversion"/>
  <conditionalFormatting sqref="AF5:DY55">
    <cfRule type="expression" dxfId="2" priority="3" stopIfTrue="1">
      <formula>COUNTIF(STD_CAL,AF$4)&gt;0</formula>
    </cfRule>
  </conditionalFormatting>
  <conditionalFormatting sqref="D5:AE55">
    <cfRule type="expression" dxfId="1" priority="2">
      <formula>($B5="G")</formula>
    </cfRule>
    <cfRule type="expression" dxfId="0" priority="1">
      <formula>($AE5=1)</formula>
    </cfRule>
  </conditionalFormatting>
  <hyperlinks>
    <hyperlink ref="AF1:BJ1" r:id="rId1" display="https://xlworks.net/" xr:uid="{1C77AF3C-3975-4F60-AD4A-E27012638D9F}"/>
  </hyperlinks>
  <pageMargins left="0.19685039370078741" right="0.23622047244094491" top="0.43307086614173229" bottom="0.23622047244094491" header="0.23622047244094491" footer="0.19685039370078741"/>
  <pageSetup paperSize="9" scale="46"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topLeftCell="B1" zoomScaleNormal="100" workbookViewId="0">
      <pane ySplit="1" topLeftCell="A6" activePane="bottomLeft" state="frozenSplit"/>
      <selection pane="bottomLeft" activeCell="F32" sqref="F32"/>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16384" width="10" style="59"/>
  </cols>
  <sheetData>
    <row r="1" spans="1:17" s="4" customFormat="1" ht="36.9" customHeight="1">
      <c r="A1" s="1" t="s">
        <v>1470</v>
      </c>
      <c r="B1" s="2"/>
      <c r="C1" s="2"/>
      <c r="D1" s="2"/>
      <c r="E1" s="2"/>
      <c r="F1" s="2"/>
      <c r="G1" s="2"/>
      <c r="H1" s="2"/>
      <c r="I1" s="2"/>
      <c r="J1" s="2"/>
      <c r="K1" s="2"/>
      <c r="L1" s="288"/>
      <c r="M1" s="289"/>
      <c r="N1" s="289"/>
      <c r="O1" s="3"/>
      <c r="P1" s="3"/>
      <c r="Q1" s="3"/>
    </row>
    <row r="2" spans="1:17" s="7" customFormat="1" ht="13.8">
      <c r="A2" s="5" t="s">
        <v>1370</v>
      </c>
      <c r="B2" s="6"/>
    </row>
    <row r="3" spans="1:17" s="7" customFormat="1" ht="13.8">
      <c r="A3" s="5" t="s">
        <v>1371</v>
      </c>
      <c r="B3" s="6"/>
    </row>
    <row r="4" spans="1:17" s="7" customFormat="1" ht="13.8">
      <c r="A4" s="290"/>
      <c r="B4" s="290"/>
      <c r="C4" s="8"/>
      <c r="D4" s="9"/>
      <c r="E4" s="9"/>
      <c r="F4" s="9"/>
    </row>
    <row r="5" spans="1:17" s="15" customFormat="1" ht="13.8">
      <c r="A5" s="10"/>
      <c r="B5" s="11"/>
      <c r="C5" s="12"/>
      <c r="D5" s="13"/>
      <c r="E5" s="14"/>
      <c r="F5" s="14"/>
      <c r="G5" s="14"/>
    </row>
    <row r="6" spans="1:17" s="15" customFormat="1" ht="13.8">
      <c r="A6" s="16" t="s">
        <v>1372</v>
      </c>
      <c r="B6" s="17">
        <v>145</v>
      </c>
      <c r="C6" s="15" t="s">
        <v>0</v>
      </c>
      <c r="D6" s="287" t="s">
        <v>1373</v>
      </c>
      <c r="E6" s="287"/>
      <c r="F6" s="287"/>
      <c r="G6" s="287"/>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1374</v>
      </c>
      <c r="B9" s="17">
        <v>90</v>
      </c>
      <c r="C9" s="15" t="s">
        <v>0</v>
      </c>
      <c r="D9" s="286" t="s">
        <v>1375</v>
      </c>
      <c r="E9" s="286"/>
      <c r="F9" s="286"/>
      <c r="G9" s="286"/>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1368</v>
      </c>
      <c r="B12" s="17">
        <v>94</v>
      </c>
      <c r="C12" s="15" t="s">
        <v>0</v>
      </c>
      <c r="D12" s="291" t="s">
        <v>1369</v>
      </c>
      <c r="E12" s="286"/>
      <c r="F12" s="286"/>
      <c r="G12" s="286"/>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1376</v>
      </c>
      <c r="B15" s="17"/>
      <c r="C15" s="15" t="s">
        <v>0</v>
      </c>
      <c r="D15" s="286" t="s">
        <v>1377</v>
      </c>
      <c r="E15" s="286"/>
      <c r="F15" s="286"/>
      <c r="G15" s="286"/>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1378</v>
      </c>
      <c r="B18" s="39">
        <v>0.62068965517241381</v>
      </c>
      <c r="D18" s="286" t="s">
        <v>1379</v>
      </c>
      <c r="E18" s="286"/>
      <c r="F18" s="286"/>
      <c r="G18" s="286"/>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1380</v>
      </c>
      <c r="B21" s="39">
        <v>0.64827586206896548</v>
      </c>
      <c r="D21" s="286" t="s">
        <v>1381</v>
      </c>
      <c r="E21" s="286"/>
      <c r="F21" s="286"/>
      <c r="G21" s="286"/>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1382</v>
      </c>
      <c r="B24" s="49">
        <f>ACTUAL_RATE-PLANNED_RATE</f>
        <v>2.7586206896551668E-2</v>
      </c>
      <c r="D24" s="287" t="s">
        <v>1383</v>
      </c>
      <c r="E24" s="287"/>
      <c r="F24" s="287"/>
      <c r="G24" s="287"/>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3"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D285D-C2DA-4553-AE27-022C6221D70A}">
  <dimension ref="A1"/>
  <sheetViews>
    <sheetView workbookViewId="0"/>
  </sheetViews>
  <sheetFormatPr defaultRowHeight="17.399999999999999"/>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L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148" customWidth="1"/>
    <col min="2" max="3" width="10.59765625" style="148" bestFit="1" customWidth="1"/>
    <col min="4" max="4" width="9.09765625" style="148"/>
    <col min="5" max="5" width="10.59765625" style="148" customWidth="1"/>
    <col min="6" max="6" width="9.09765625" style="155"/>
    <col min="7" max="12" width="9.09765625" style="101"/>
    <col min="13" max="16384" width="9.09765625" style="148"/>
  </cols>
  <sheetData>
    <row r="1" spans="2:12" ht="36.9" customHeight="1">
      <c r="B1" s="62" t="s">
        <v>1471</v>
      </c>
    </row>
    <row r="2" spans="2:12">
      <c r="B2" s="148" t="s">
        <v>1472</v>
      </c>
    </row>
    <row r="3" spans="2:12">
      <c r="B3" s="148" t="s">
        <v>1473</v>
      </c>
    </row>
    <row r="6" spans="2:12" ht="43.2">
      <c r="B6" s="63" t="s">
        <v>570</v>
      </c>
      <c r="C6" s="100" t="s">
        <v>571</v>
      </c>
      <c r="D6" s="100" t="s">
        <v>1439</v>
      </c>
      <c r="E6" s="100" t="s">
        <v>1440</v>
      </c>
      <c r="F6" s="158" t="s">
        <v>1441</v>
      </c>
      <c r="G6" s="154" t="s">
        <v>1442</v>
      </c>
      <c r="H6" s="154" t="s">
        <v>1443</v>
      </c>
      <c r="I6" s="154" t="s">
        <v>1444</v>
      </c>
      <c r="J6" s="154" t="s">
        <v>1445</v>
      </c>
      <c r="K6" s="154" t="s">
        <v>1446</v>
      </c>
      <c r="L6" s="156" t="s">
        <v>1447</v>
      </c>
    </row>
    <row r="7" spans="2:12">
      <c r="B7" s="149">
        <v>44026</v>
      </c>
      <c r="C7" s="149">
        <v>44030</v>
      </c>
      <c r="D7" s="150">
        <v>4</v>
      </c>
      <c r="E7" s="150">
        <f>D7</f>
        <v>4</v>
      </c>
      <c r="F7" s="157">
        <f t="shared" ref="F7:F28" si="0">E7/$D$29</f>
        <v>1.532567049808429E-2</v>
      </c>
      <c r="G7" s="151">
        <v>4</v>
      </c>
      <c r="H7" s="151">
        <f>G7</f>
        <v>4</v>
      </c>
      <c r="I7" s="157">
        <f t="shared" ref="I7:I10" si="1">H7/$D$29</f>
        <v>1.532567049808429E-2</v>
      </c>
      <c r="J7" s="151"/>
      <c r="K7" s="151">
        <f>J7</f>
        <v>0</v>
      </c>
      <c r="L7" s="157">
        <f t="shared" ref="L7:L10" si="2">K7/$D$29</f>
        <v>0</v>
      </c>
    </row>
    <row r="8" spans="2:12">
      <c r="B8" s="224">
        <v>44031</v>
      </c>
      <c r="C8" s="224">
        <v>44037</v>
      </c>
      <c r="D8" s="225">
        <v>12.7</v>
      </c>
      <c r="E8" s="225">
        <f t="shared" ref="E8:E28" si="3">E7+D8</f>
        <v>16.7</v>
      </c>
      <c r="F8" s="227">
        <f t="shared" si="0"/>
        <v>6.3984674329501917E-2</v>
      </c>
      <c r="G8" s="226">
        <v>11</v>
      </c>
      <c r="H8" s="226">
        <f>H7+G8</f>
        <v>15</v>
      </c>
      <c r="I8" s="227">
        <f t="shared" si="1"/>
        <v>5.7471264367816091E-2</v>
      </c>
      <c r="J8" s="226"/>
      <c r="K8" s="226">
        <f>K7+J8</f>
        <v>0</v>
      </c>
      <c r="L8" s="227">
        <f t="shared" si="2"/>
        <v>0</v>
      </c>
    </row>
    <row r="9" spans="2:12">
      <c r="B9" s="224">
        <v>44038</v>
      </c>
      <c r="C9" s="224">
        <v>44044</v>
      </c>
      <c r="D9" s="225">
        <v>18.5</v>
      </c>
      <c r="E9" s="225">
        <f t="shared" si="3"/>
        <v>35.200000000000003</v>
      </c>
      <c r="F9" s="227">
        <f t="shared" si="0"/>
        <v>0.13486590038314178</v>
      </c>
      <c r="G9" s="226">
        <v>16.12</v>
      </c>
      <c r="H9" s="226">
        <f>H8+G9</f>
        <v>31.12</v>
      </c>
      <c r="I9" s="227">
        <f t="shared" si="1"/>
        <v>0.11923371647509579</v>
      </c>
      <c r="J9" s="226"/>
      <c r="K9" s="226">
        <f>K8+J9</f>
        <v>0</v>
      </c>
      <c r="L9" s="227">
        <f t="shared" si="2"/>
        <v>0</v>
      </c>
    </row>
    <row r="10" spans="2:12">
      <c r="B10" s="224">
        <v>44045</v>
      </c>
      <c r="C10" s="224">
        <v>44051</v>
      </c>
      <c r="D10" s="225">
        <v>10.4</v>
      </c>
      <c r="E10" s="225">
        <f t="shared" si="3"/>
        <v>45.6</v>
      </c>
      <c r="F10" s="227">
        <f t="shared" si="0"/>
        <v>0.17471264367816092</v>
      </c>
      <c r="G10" s="226">
        <v>6</v>
      </c>
      <c r="H10" s="226">
        <f>H9+G10</f>
        <v>37.120000000000005</v>
      </c>
      <c r="I10" s="227">
        <f t="shared" si="1"/>
        <v>0.14222222222222225</v>
      </c>
      <c r="J10" s="226"/>
      <c r="K10" s="226">
        <f>K9+J10</f>
        <v>0</v>
      </c>
      <c r="L10" s="227">
        <f t="shared" si="2"/>
        <v>0</v>
      </c>
    </row>
    <row r="11" spans="2:12">
      <c r="B11" s="224">
        <v>44052</v>
      </c>
      <c r="C11" s="224">
        <v>44058</v>
      </c>
      <c r="D11" s="225">
        <v>6.6</v>
      </c>
      <c r="E11" s="225">
        <f t="shared" si="3"/>
        <v>52.2</v>
      </c>
      <c r="F11" s="227">
        <f t="shared" si="0"/>
        <v>0.2</v>
      </c>
      <c r="G11" s="226"/>
      <c r="H11" s="226"/>
      <c r="I11" s="226"/>
      <c r="J11" s="226"/>
      <c r="K11" s="226"/>
      <c r="L11" s="226"/>
    </row>
    <row r="12" spans="2:12">
      <c r="B12" s="224">
        <v>44059</v>
      </c>
      <c r="C12" s="224">
        <v>44065</v>
      </c>
      <c r="D12" s="225">
        <v>10</v>
      </c>
      <c r="E12" s="225">
        <f t="shared" si="3"/>
        <v>62.2</v>
      </c>
      <c r="F12" s="227">
        <f t="shared" si="0"/>
        <v>0.23831417624521073</v>
      </c>
      <c r="G12" s="226"/>
      <c r="H12" s="226"/>
      <c r="I12" s="226"/>
      <c r="J12" s="226"/>
      <c r="K12" s="226"/>
      <c r="L12" s="226"/>
    </row>
    <row r="13" spans="2:12">
      <c r="B13" s="224">
        <v>44066</v>
      </c>
      <c r="C13" s="224">
        <v>44072</v>
      </c>
      <c r="D13" s="225">
        <v>14</v>
      </c>
      <c r="E13" s="225">
        <f t="shared" si="3"/>
        <v>76.2</v>
      </c>
      <c r="F13" s="227">
        <f t="shared" si="0"/>
        <v>0.29195402298850576</v>
      </c>
      <c r="G13" s="226"/>
      <c r="H13" s="226"/>
      <c r="I13" s="226"/>
      <c r="J13" s="226"/>
      <c r="K13" s="226"/>
      <c r="L13" s="226"/>
    </row>
    <row r="14" spans="2:12">
      <c r="B14" s="224">
        <v>44073</v>
      </c>
      <c r="C14" s="224">
        <v>44079</v>
      </c>
      <c r="D14" s="225">
        <v>7</v>
      </c>
      <c r="E14" s="225">
        <f t="shared" si="3"/>
        <v>83.2</v>
      </c>
      <c r="F14" s="227">
        <f t="shared" si="0"/>
        <v>0.31877394636015327</v>
      </c>
      <c r="G14" s="226"/>
      <c r="H14" s="226"/>
      <c r="I14" s="226"/>
      <c r="J14" s="226"/>
      <c r="K14" s="226"/>
      <c r="L14" s="226"/>
    </row>
    <row r="15" spans="2:12">
      <c r="B15" s="224">
        <v>44080</v>
      </c>
      <c r="C15" s="224">
        <v>44086</v>
      </c>
      <c r="D15" s="225">
        <v>7.2</v>
      </c>
      <c r="E15" s="225">
        <f t="shared" si="3"/>
        <v>90.4</v>
      </c>
      <c r="F15" s="227">
        <f t="shared" si="0"/>
        <v>0.34636015325670499</v>
      </c>
      <c r="G15" s="226"/>
      <c r="H15" s="226"/>
      <c r="I15" s="226"/>
      <c r="J15" s="226"/>
      <c r="K15" s="226"/>
      <c r="L15" s="226"/>
    </row>
    <row r="16" spans="2:12">
      <c r="B16" s="224">
        <v>44087</v>
      </c>
      <c r="C16" s="224">
        <v>44093</v>
      </c>
      <c r="D16" s="225">
        <v>18</v>
      </c>
      <c r="E16" s="225">
        <f t="shared" si="3"/>
        <v>108.4</v>
      </c>
      <c r="F16" s="227">
        <f t="shared" si="0"/>
        <v>0.41532567049808433</v>
      </c>
      <c r="G16" s="226"/>
      <c r="H16" s="226"/>
      <c r="I16" s="226"/>
      <c r="J16" s="226"/>
      <c r="K16" s="226"/>
      <c r="L16" s="226"/>
    </row>
    <row r="17" spans="2:12">
      <c r="B17" s="224">
        <v>44094</v>
      </c>
      <c r="C17" s="224">
        <v>44100</v>
      </c>
      <c r="D17" s="225">
        <v>18</v>
      </c>
      <c r="E17" s="225">
        <f t="shared" si="3"/>
        <v>126.4</v>
      </c>
      <c r="F17" s="227">
        <f t="shared" si="0"/>
        <v>0.48429118773946361</v>
      </c>
      <c r="G17" s="226"/>
      <c r="H17" s="226"/>
      <c r="I17" s="226"/>
      <c r="J17" s="226"/>
      <c r="K17" s="226"/>
      <c r="L17" s="226"/>
    </row>
    <row r="18" spans="2:12">
      <c r="B18" s="224">
        <v>44101</v>
      </c>
      <c r="C18" s="224">
        <v>44107</v>
      </c>
      <c r="D18" s="225">
        <v>8</v>
      </c>
      <c r="E18" s="225">
        <f t="shared" si="3"/>
        <v>134.4</v>
      </c>
      <c r="F18" s="227">
        <f t="shared" si="0"/>
        <v>0.51494252873563218</v>
      </c>
      <c r="G18" s="226"/>
      <c r="H18" s="226"/>
      <c r="I18" s="226"/>
      <c r="J18" s="226"/>
      <c r="K18" s="226"/>
      <c r="L18" s="226"/>
    </row>
    <row r="19" spans="2:12">
      <c r="B19" s="224">
        <v>44108</v>
      </c>
      <c r="C19" s="224">
        <v>44114</v>
      </c>
      <c r="D19" s="225">
        <v>12</v>
      </c>
      <c r="E19" s="225">
        <f t="shared" si="3"/>
        <v>146.4</v>
      </c>
      <c r="F19" s="227">
        <f t="shared" si="0"/>
        <v>0.56091954022988511</v>
      </c>
      <c r="G19" s="226"/>
      <c r="H19" s="226"/>
      <c r="I19" s="226"/>
      <c r="J19" s="226"/>
      <c r="K19" s="226"/>
      <c r="L19" s="226"/>
    </row>
    <row r="20" spans="2:12">
      <c r="B20" s="224">
        <v>44115</v>
      </c>
      <c r="C20" s="224">
        <v>44121</v>
      </c>
      <c r="D20" s="225">
        <v>15.4</v>
      </c>
      <c r="E20" s="225">
        <f t="shared" si="3"/>
        <v>161.80000000000001</v>
      </c>
      <c r="F20" s="227">
        <f t="shared" si="0"/>
        <v>0.61992337164750966</v>
      </c>
      <c r="G20" s="226"/>
      <c r="H20" s="226"/>
      <c r="I20" s="226"/>
      <c r="J20" s="226"/>
      <c r="K20" s="226"/>
      <c r="L20" s="226"/>
    </row>
    <row r="21" spans="2:12">
      <c r="B21" s="224">
        <v>44122</v>
      </c>
      <c r="C21" s="224">
        <v>44128</v>
      </c>
      <c r="D21" s="225">
        <v>17</v>
      </c>
      <c r="E21" s="225">
        <f t="shared" si="3"/>
        <v>178.8</v>
      </c>
      <c r="F21" s="227">
        <f t="shared" si="0"/>
        <v>0.68505747126436789</v>
      </c>
      <c r="G21" s="226"/>
      <c r="H21" s="226"/>
      <c r="I21" s="226"/>
      <c r="J21" s="226"/>
      <c r="K21" s="226"/>
      <c r="L21" s="226"/>
    </row>
    <row r="22" spans="2:12">
      <c r="B22" s="224">
        <v>44129</v>
      </c>
      <c r="C22" s="224">
        <v>44135</v>
      </c>
      <c r="D22" s="225">
        <v>21</v>
      </c>
      <c r="E22" s="225">
        <f t="shared" si="3"/>
        <v>199.8</v>
      </c>
      <c r="F22" s="227">
        <f t="shared" si="0"/>
        <v>0.76551724137931043</v>
      </c>
      <c r="G22" s="226"/>
      <c r="H22" s="226"/>
      <c r="I22" s="226"/>
      <c r="J22" s="226"/>
      <c r="K22" s="226"/>
      <c r="L22" s="226"/>
    </row>
    <row r="23" spans="2:12">
      <c r="B23" s="224">
        <v>44136</v>
      </c>
      <c r="C23" s="224">
        <v>44142</v>
      </c>
      <c r="D23" s="225">
        <v>21</v>
      </c>
      <c r="E23" s="225">
        <f t="shared" si="3"/>
        <v>220.8</v>
      </c>
      <c r="F23" s="227">
        <f t="shared" si="0"/>
        <v>0.84597701149425286</v>
      </c>
      <c r="G23" s="226"/>
      <c r="H23" s="226"/>
      <c r="I23" s="226"/>
      <c r="J23" s="226"/>
      <c r="K23" s="226"/>
      <c r="L23" s="226"/>
    </row>
    <row r="24" spans="2:12">
      <c r="B24" s="224">
        <v>44143</v>
      </c>
      <c r="C24" s="224">
        <v>44149</v>
      </c>
      <c r="D24" s="225">
        <v>7.2</v>
      </c>
      <c r="E24" s="225">
        <f t="shared" si="3"/>
        <v>228</v>
      </c>
      <c r="F24" s="227">
        <f t="shared" si="0"/>
        <v>0.87356321839080464</v>
      </c>
      <c r="G24" s="226"/>
      <c r="H24" s="226"/>
      <c r="I24" s="226"/>
      <c r="J24" s="226"/>
      <c r="K24" s="226"/>
      <c r="L24" s="226"/>
    </row>
    <row r="25" spans="2:12">
      <c r="B25" s="224">
        <v>44150</v>
      </c>
      <c r="C25" s="224">
        <v>44156</v>
      </c>
      <c r="D25" s="225">
        <v>19</v>
      </c>
      <c r="E25" s="225">
        <f t="shared" si="3"/>
        <v>247</v>
      </c>
      <c r="F25" s="227">
        <f t="shared" si="0"/>
        <v>0.94636015325670497</v>
      </c>
      <c r="G25" s="226"/>
      <c r="H25" s="226"/>
      <c r="I25" s="226"/>
      <c r="J25" s="226"/>
      <c r="K25" s="226"/>
      <c r="L25" s="226"/>
    </row>
    <row r="26" spans="2:12">
      <c r="B26" s="224">
        <v>44157</v>
      </c>
      <c r="C26" s="224">
        <v>44163</v>
      </c>
      <c r="D26" s="225">
        <v>4</v>
      </c>
      <c r="E26" s="225">
        <f t="shared" si="3"/>
        <v>251</v>
      </c>
      <c r="F26" s="227">
        <f t="shared" si="0"/>
        <v>0.96168582375478928</v>
      </c>
      <c r="G26" s="226"/>
      <c r="H26" s="226"/>
      <c r="I26" s="226"/>
      <c r="J26" s="226"/>
      <c r="K26" s="226"/>
      <c r="L26" s="226"/>
    </row>
    <row r="27" spans="2:12">
      <c r="B27" s="224">
        <v>44164</v>
      </c>
      <c r="C27" s="224">
        <v>44170</v>
      </c>
      <c r="D27" s="225">
        <v>5</v>
      </c>
      <c r="E27" s="225">
        <f t="shared" si="3"/>
        <v>256</v>
      </c>
      <c r="F27" s="227">
        <f t="shared" si="0"/>
        <v>0.98084291187739459</v>
      </c>
      <c r="G27" s="226"/>
      <c r="H27" s="226"/>
      <c r="I27" s="226"/>
      <c r="J27" s="226"/>
      <c r="K27" s="226"/>
      <c r="L27" s="226"/>
    </row>
    <row r="28" spans="2:12">
      <c r="B28" s="224">
        <v>44171</v>
      </c>
      <c r="C28" s="224">
        <v>44177</v>
      </c>
      <c r="D28" s="225">
        <v>5</v>
      </c>
      <c r="E28" s="225">
        <f t="shared" si="3"/>
        <v>261</v>
      </c>
      <c r="F28" s="227">
        <f t="shared" si="0"/>
        <v>1</v>
      </c>
      <c r="G28" s="226"/>
      <c r="H28" s="226"/>
      <c r="I28" s="226"/>
      <c r="J28" s="226"/>
      <c r="K28" s="226"/>
      <c r="L28" s="226"/>
    </row>
    <row r="29" spans="2:12">
      <c r="C29" s="148" t="s">
        <v>1396</v>
      </c>
      <c r="D29" s="148">
        <f>SUM(D7:D28)</f>
        <v>261</v>
      </c>
      <c r="G29" s="101">
        <f>SUM(G7:G28)</f>
        <v>37.120000000000005</v>
      </c>
      <c r="J29" s="101">
        <f>SUM(J7:J28)</f>
        <v>0</v>
      </c>
    </row>
  </sheetData>
  <dataConsolidate/>
  <phoneticPr fontId="2" type="noConversion"/>
  <pageMargins left="0.7" right="0.7" top="0.75" bottom="0.75" header="0.3" footer="0.3"/>
  <pageSetup paperSize="9" orientation="portrait"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14" activePane="bottomLeft" state="frozenSplit"/>
      <selection pane="bottomLeft" activeCell="E25" sqref="E25"/>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16384" width="10" style="68"/>
  </cols>
  <sheetData>
    <row r="1" spans="1:9" s="64" customFormat="1" ht="36.9" customHeight="1">
      <c r="A1" s="1" t="s">
        <v>1384</v>
      </c>
      <c r="B1" s="1"/>
      <c r="C1" s="1"/>
      <c r="D1" s="1"/>
      <c r="E1" s="1"/>
      <c r="F1" s="1"/>
      <c r="G1" s="1"/>
      <c r="H1" s="1"/>
    </row>
    <row r="2" spans="1:9" s="65" customFormat="1" ht="78.75" customHeight="1">
      <c r="A2" s="292" t="s">
        <v>1385</v>
      </c>
      <c r="B2" s="292"/>
      <c r="C2" s="292"/>
      <c r="D2" s="292"/>
      <c r="E2" s="292"/>
      <c r="F2" s="292"/>
      <c r="G2" s="292"/>
      <c r="H2" s="292"/>
    </row>
    <row r="3" spans="1:9" s="65" customFormat="1" ht="24.75" customHeight="1">
      <c r="A3" s="293" t="s">
        <v>1386</v>
      </c>
      <c r="B3" s="293"/>
      <c r="D3" s="293" t="s">
        <v>1387</v>
      </c>
      <c r="E3" s="293"/>
      <c r="G3" s="293" t="s">
        <v>1388</v>
      </c>
      <c r="H3" s="293"/>
    </row>
    <row r="4" spans="1:9" s="67" customFormat="1" ht="19.5" customHeight="1">
      <c r="A4" s="66" t="s">
        <v>1389</v>
      </c>
      <c r="B4" s="66" t="s">
        <v>1390</v>
      </c>
      <c r="D4" s="66" t="s">
        <v>1389</v>
      </c>
      <c r="E4" s="66" t="s">
        <v>1390</v>
      </c>
      <c r="G4" s="66" t="s">
        <v>1389</v>
      </c>
      <c r="H4" s="66" t="s">
        <v>1390</v>
      </c>
    </row>
    <row r="5" spans="1:9" s="106" customFormat="1" ht="17.399999999999999">
      <c r="A5" s="104" t="s">
        <v>1142</v>
      </c>
      <c r="B5" s="105">
        <v>43831</v>
      </c>
      <c r="C5" s="106" t="str">
        <f t="shared" ref="C5:C68" si="0">IF(B5&gt;0,TEXT(B5,"(aaa)"),"")</f>
        <v>(수)</v>
      </c>
      <c r="D5" s="107"/>
      <c r="E5" s="108"/>
      <c r="F5" s="106" t="str">
        <f t="shared" ref="F5:F68" si="1">IF(E5&gt;0,TEXT(E5,"(aaa)"),"")</f>
        <v/>
      </c>
      <c r="G5" s="107"/>
      <c r="H5" s="108"/>
      <c r="I5" s="106" t="str">
        <f t="shared" ref="I5:I68" si="2">IF(H5&gt;0,TEXT(H5,"(aaa)"),"")</f>
        <v/>
      </c>
    </row>
    <row r="6" spans="1:9" s="106" customFormat="1" ht="17.399999999999999">
      <c r="A6" s="104" t="s">
        <v>1143</v>
      </c>
      <c r="B6" s="105">
        <v>43854</v>
      </c>
      <c r="C6" s="106" t="str">
        <f t="shared" si="0"/>
        <v>(금)</v>
      </c>
      <c r="D6" s="107"/>
      <c r="E6" s="108"/>
      <c r="F6" s="106" t="str">
        <f t="shared" si="1"/>
        <v/>
      </c>
      <c r="G6" s="107"/>
      <c r="H6" s="108"/>
      <c r="I6" s="106" t="str">
        <f t="shared" si="2"/>
        <v/>
      </c>
    </row>
    <row r="7" spans="1:9" s="106" customFormat="1" ht="17.399999999999999">
      <c r="A7" s="104" t="s">
        <v>1452</v>
      </c>
      <c r="B7" s="105">
        <v>43857</v>
      </c>
      <c r="C7" s="106" t="str">
        <f t="shared" si="0"/>
        <v>(월)</v>
      </c>
      <c r="D7" s="107"/>
      <c r="E7" s="108"/>
      <c r="F7" s="106" t="str">
        <f t="shared" si="1"/>
        <v/>
      </c>
      <c r="G7" s="107"/>
      <c r="H7" s="108"/>
      <c r="I7" s="106" t="str">
        <f t="shared" si="2"/>
        <v/>
      </c>
    </row>
    <row r="8" spans="1:9" s="106" customFormat="1" ht="17.399999999999999">
      <c r="A8" s="104" t="s">
        <v>1453</v>
      </c>
      <c r="B8" s="105">
        <v>43936</v>
      </c>
      <c r="C8" s="106" t="str">
        <f t="shared" si="0"/>
        <v>(수)</v>
      </c>
      <c r="D8" s="107"/>
      <c r="E8" s="108"/>
      <c r="F8" s="106" t="str">
        <f t="shared" si="1"/>
        <v/>
      </c>
      <c r="G8" s="107"/>
      <c r="H8" s="108"/>
      <c r="I8" s="106" t="str">
        <f t="shared" si="2"/>
        <v/>
      </c>
    </row>
    <row r="9" spans="1:9" s="106" customFormat="1" ht="17.399999999999999">
      <c r="A9" s="104" t="s">
        <v>1454</v>
      </c>
      <c r="B9" s="105">
        <v>43951</v>
      </c>
      <c r="C9" s="106" t="str">
        <f t="shared" si="0"/>
        <v>(목)</v>
      </c>
      <c r="D9" s="107"/>
      <c r="E9" s="108"/>
      <c r="F9" s="106" t="str">
        <f t="shared" si="1"/>
        <v/>
      </c>
      <c r="G9" s="107"/>
      <c r="H9" s="108"/>
      <c r="I9" s="106" t="str">
        <f t="shared" si="2"/>
        <v/>
      </c>
    </row>
    <row r="10" spans="1:9" s="106" customFormat="1" ht="17.399999999999999">
      <c r="A10" s="104" t="s">
        <v>1455</v>
      </c>
      <c r="B10" s="105">
        <v>43956</v>
      </c>
      <c r="C10" s="106" t="str">
        <f t="shared" si="0"/>
        <v>(화)</v>
      </c>
      <c r="D10" s="107"/>
      <c r="E10" s="108"/>
      <c r="F10" s="106" t="str">
        <f t="shared" si="1"/>
        <v/>
      </c>
      <c r="G10" s="107"/>
      <c r="H10" s="108"/>
      <c r="I10" s="106" t="str">
        <f t="shared" si="2"/>
        <v/>
      </c>
    </row>
    <row r="11" spans="1:9" s="106" customFormat="1" ht="17.399999999999999">
      <c r="A11" s="104" t="s">
        <v>1460</v>
      </c>
      <c r="B11" s="105">
        <v>44060</v>
      </c>
      <c r="C11" s="106" t="str">
        <f t="shared" si="0"/>
        <v>(월)</v>
      </c>
      <c r="D11" s="107"/>
      <c r="E11" s="108"/>
      <c r="F11" s="106" t="str">
        <f t="shared" si="1"/>
        <v/>
      </c>
      <c r="G11" s="107"/>
      <c r="H11" s="108"/>
      <c r="I11" s="106" t="str">
        <f t="shared" si="2"/>
        <v/>
      </c>
    </row>
    <row r="12" spans="1:9" s="106" customFormat="1" ht="17.399999999999999">
      <c r="A12" s="104" t="s">
        <v>1456</v>
      </c>
      <c r="B12" s="105">
        <v>44104</v>
      </c>
      <c r="C12" s="106" t="str">
        <f t="shared" si="0"/>
        <v>(수)</v>
      </c>
      <c r="D12" s="107"/>
      <c r="E12" s="108"/>
      <c r="F12" s="106" t="str">
        <f t="shared" si="1"/>
        <v/>
      </c>
      <c r="G12" s="107"/>
      <c r="H12" s="108"/>
      <c r="I12" s="106" t="str">
        <f t="shared" si="2"/>
        <v/>
      </c>
    </row>
    <row r="13" spans="1:9" s="106" customFormat="1" ht="17.399999999999999">
      <c r="A13" s="104" t="s">
        <v>1457</v>
      </c>
      <c r="B13" s="105">
        <v>44105</v>
      </c>
      <c r="C13" s="106" t="str">
        <f t="shared" si="0"/>
        <v>(목)</v>
      </c>
      <c r="D13" s="107"/>
      <c r="E13" s="108"/>
      <c r="F13" s="106" t="str">
        <f t="shared" si="1"/>
        <v/>
      </c>
      <c r="G13" s="107"/>
      <c r="H13" s="108"/>
      <c r="I13" s="106" t="str">
        <f t="shared" si="2"/>
        <v/>
      </c>
    </row>
    <row r="14" spans="1:9" s="106" customFormat="1" ht="17.399999999999999">
      <c r="A14" s="104" t="s">
        <v>1456</v>
      </c>
      <c r="B14" s="105">
        <v>44106</v>
      </c>
      <c r="C14" s="106" t="str">
        <f t="shared" si="0"/>
        <v>(금)</v>
      </c>
      <c r="D14" s="107"/>
      <c r="E14" s="108"/>
      <c r="F14" s="106" t="str">
        <f t="shared" si="1"/>
        <v/>
      </c>
      <c r="G14" s="107"/>
      <c r="H14" s="108"/>
      <c r="I14" s="106" t="str">
        <f t="shared" si="2"/>
        <v/>
      </c>
    </row>
    <row r="15" spans="1:9" s="106" customFormat="1" ht="17.399999999999999">
      <c r="A15" s="104" t="s">
        <v>1458</v>
      </c>
      <c r="B15" s="105">
        <v>44113</v>
      </c>
      <c r="C15" s="106" t="str">
        <f t="shared" si="0"/>
        <v>(금)</v>
      </c>
      <c r="D15" s="107"/>
      <c r="E15" s="108"/>
      <c r="F15" s="106" t="str">
        <f t="shared" si="1"/>
        <v/>
      </c>
      <c r="G15" s="107"/>
      <c r="H15" s="108"/>
      <c r="I15" s="106" t="str">
        <f t="shared" si="2"/>
        <v/>
      </c>
    </row>
    <row r="16" spans="1:9" s="106" customFormat="1" ht="17.399999999999999">
      <c r="A16" s="104" t="s">
        <v>1459</v>
      </c>
      <c r="B16" s="105">
        <v>44190</v>
      </c>
      <c r="C16" s="106" t="str">
        <f t="shared" si="0"/>
        <v>(금)</v>
      </c>
      <c r="D16" s="107"/>
      <c r="E16" s="108"/>
      <c r="F16" s="106" t="str">
        <f t="shared" si="1"/>
        <v/>
      </c>
      <c r="G16" s="107"/>
      <c r="H16" s="108"/>
      <c r="I16" s="106" t="str">
        <f t="shared" si="2"/>
        <v/>
      </c>
    </row>
    <row r="17" spans="1:10" s="106" customFormat="1" ht="17.399999999999999">
      <c r="A17" s="104" t="s">
        <v>1461</v>
      </c>
      <c r="B17" s="105">
        <v>44197</v>
      </c>
      <c r="C17" s="106" t="str">
        <f t="shared" si="0"/>
        <v>(금)</v>
      </c>
      <c r="D17" s="107"/>
      <c r="E17" s="108"/>
      <c r="F17" s="106" t="str">
        <f t="shared" si="1"/>
        <v/>
      </c>
      <c r="G17" s="107"/>
      <c r="H17" s="108"/>
      <c r="I17" s="106" t="str">
        <f t="shared" si="2"/>
        <v/>
      </c>
    </row>
    <row r="18" spans="1:10" s="106" customFormat="1" ht="17.399999999999999">
      <c r="A18" s="104" t="s">
        <v>1462</v>
      </c>
      <c r="B18" s="105">
        <v>44238</v>
      </c>
      <c r="C18" s="106" t="str">
        <f t="shared" si="0"/>
        <v>(목)</v>
      </c>
      <c r="D18" s="107"/>
      <c r="E18" s="108"/>
      <c r="F18" s="106" t="str">
        <f t="shared" si="1"/>
        <v/>
      </c>
      <c r="G18" s="107"/>
      <c r="H18" s="108"/>
      <c r="I18" s="106" t="str">
        <f t="shared" si="2"/>
        <v/>
      </c>
    </row>
    <row r="19" spans="1:10" s="106" customFormat="1" ht="19.2">
      <c r="A19" s="104" t="s">
        <v>1463</v>
      </c>
      <c r="B19" s="105">
        <v>44239</v>
      </c>
      <c r="C19" s="106" t="str">
        <f t="shared" si="0"/>
        <v>(금)</v>
      </c>
      <c r="D19" s="107"/>
      <c r="E19" s="108"/>
      <c r="F19" s="106" t="str">
        <f t="shared" si="1"/>
        <v/>
      </c>
      <c r="G19" s="107"/>
      <c r="H19" s="108"/>
      <c r="I19" s="106" t="str">
        <f t="shared" si="2"/>
        <v/>
      </c>
      <c r="J19" s="109"/>
    </row>
    <row r="20" spans="1:10" s="106" customFormat="1" ht="19.2">
      <c r="A20" s="104" t="s">
        <v>1464</v>
      </c>
      <c r="B20" s="105">
        <v>44256</v>
      </c>
      <c r="C20" s="106" t="str">
        <f t="shared" si="0"/>
        <v>(월)</v>
      </c>
      <c r="D20" s="107"/>
      <c r="E20" s="108"/>
      <c r="F20" s="106" t="str">
        <f t="shared" si="1"/>
        <v/>
      </c>
      <c r="G20" s="107"/>
      <c r="H20" s="108"/>
      <c r="I20" s="106" t="str">
        <f t="shared" si="2"/>
        <v/>
      </c>
      <c r="J20" s="109"/>
    </row>
    <row r="21" spans="1:10" s="106" customFormat="1" ht="17.399999999999999">
      <c r="A21" s="104" t="s">
        <v>1465</v>
      </c>
      <c r="B21" s="105">
        <v>44321</v>
      </c>
      <c r="C21" s="106" t="str">
        <f t="shared" si="0"/>
        <v>(수)</v>
      </c>
      <c r="D21" s="107"/>
      <c r="E21" s="108"/>
      <c r="F21" s="106" t="str">
        <f t="shared" si="1"/>
        <v/>
      </c>
      <c r="G21" s="107"/>
      <c r="H21" s="108"/>
      <c r="I21" s="106" t="str">
        <f t="shared" si="2"/>
        <v/>
      </c>
    </row>
    <row r="22" spans="1:10" s="106" customFormat="1" ht="17.399999999999999">
      <c r="A22" s="104" t="s">
        <v>1466</v>
      </c>
      <c r="B22" s="105">
        <v>44335</v>
      </c>
      <c r="C22" s="106" t="str">
        <f t="shared" si="0"/>
        <v>(수)</v>
      </c>
      <c r="D22" s="107"/>
      <c r="E22" s="108"/>
      <c r="F22" s="106" t="str">
        <f t="shared" si="1"/>
        <v/>
      </c>
      <c r="G22" s="107"/>
      <c r="H22" s="108"/>
      <c r="I22" s="106" t="str">
        <f t="shared" si="2"/>
        <v/>
      </c>
    </row>
    <row r="23" spans="1:10" s="106" customFormat="1" ht="17.399999999999999">
      <c r="A23" s="104" t="s">
        <v>1467</v>
      </c>
      <c r="B23" s="105">
        <v>44459</v>
      </c>
      <c r="C23" s="106" t="str">
        <f t="shared" si="0"/>
        <v>(월)</v>
      </c>
      <c r="D23" s="107"/>
      <c r="E23" s="108"/>
      <c r="F23" s="106" t="str">
        <f t="shared" si="1"/>
        <v/>
      </c>
      <c r="G23" s="107"/>
      <c r="H23" s="108"/>
      <c r="I23" s="106" t="str">
        <f t="shared" si="2"/>
        <v/>
      </c>
    </row>
    <row r="24" spans="1:10" s="106" customFormat="1" ht="17.399999999999999">
      <c r="A24" s="104" t="s">
        <v>1468</v>
      </c>
      <c r="B24" s="105">
        <v>44460</v>
      </c>
      <c r="C24" s="106" t="str">
        <f t="shared" si="0"/>
        <v>(화)</v>
      </c>
      <c r="D24" s="107"/>
      <c r="E24" s="108"/>
      <c r="F24" s="106" t="str">
        <f t="shared" si="1"/>
        <v/>
      </c>
      <c r="G24" s="107"/>
      <c r="H24" s="108"/>
      <c r="I24" s="106" t="str">
        <f t="shared" si="2"/>
        <v/>
      </c>
    </row>
    <row r="25" spans="1:10" s="106" customFormat="1" ht="17.399999999999999">
      <c r="A25" s="104" t="s">
        <v>1467</v>
      </c>
      <c r="B25" s="105">
        <v>44461</v>
      </c>
      <c r="C25" s="106" t="str">
        <f t="shared" si="0"/>
        <v>(수)</v>
      </c>
      <c r="D25" s="107"/>
      <c r="E25" s="108"/>
      <c r="F25" s="106" t="str">
        <f t="shared" si="1"/>
        <v/>
      </c>
      <c r="G25" s="107"/>
      <c r="H25" s="108"/>
      <c r="I25" s="106" t="str">
        <f t="shared" si="2"/>
        <v/>
      </c>
    </row>
    <row r="26" spans="1:10" s="106" customFormat="1" ht="17.399999999999999">
      <c r="A26" s="104"/>
      <c r="B26" s="105"/>
      <c r="C26" s="106" t="str">
        <f t="shared" si="0"/>
        <v/>
      </c>
      <c r="D26" s="107"/>
      <c r="E26" s="108"/>
      <c r="F26" s="106" t="str">
        <f t="shared" si="1"/>
        <v/>
      </c>
      <c r="G26" s="107"/>
      <c r="H26" s="108"/>
      <c r="I26" s="106" t="str">
        <f t="shared" si="2"/>
        <v/>
      </c>
    </row>
    <row r="27" spans="1:10" s="106" customFormat="1" ht="17.399999999999999">
      <c r="A27" s="104"/>
      <c r="B27" s="105"/>
      <c r="C27" s="106" t="str">
        <f t="shared" si="0"/>
        <v/>
      </c>
      <c r="D27" s="107"/>
      <c r="E27" s="108"/>
      <c r="F27" s="106" t="str">
        <f t="shared" si="1"/>
        <v/>
      </c>
      <c r="G27" s="107"/>
      <c r="H27" s="108"/>
      <c r="I27" s="106" t="str">
        <f t="shared" si="2"/>
        <v/>
      </c>
    </row>
    <row r="28" spans="1:10" s="106" customFormat="1" ht="17.399999999999999">
      <c r="A28" s="104"/>
      <c r="B28" s="105"/>
      <c r="C28" s="106" t="str">
        <f t="shared" si="0"/>
        <v/>
      </c>
      <c r="D28" s="107"/>
      <c r="E28" s="108"/>
      <c r="F28" s="106" t="str">
        <f t="shared" si="1"/>
        <v/>
      </c>
      <c r="G28" s="107"/>
      <c r="H28" s="108"/>
      <c r="I28" s="106" t="str">
        <f t="shared" si="2"/>
        <v/>
      </c>
    </row>
    <row r="29" spans="1:10" s="106" customFormat="1" ht="17.399999999999999">
      <c r="A29" s="104"/>
      <c r="B29" s="105"/>
      <c r="C29" s="106" t="str">
        <f t="shared" si="0"/>
        <v/>
      </c>
      <c r="D29" s="107"/>
      <c r="E29" s="108"/>
      <c r="F29" s="106" t="str">
        <f t="shared" si="1"/>
        <v/>
      </c>
      <c r="G29" s="107"/>
      <c r="H29" s="108"/>
      <c r="I29" s="106" t="str">
        <f t="shared" si="2"/>
        <v/>
      </c>
    </row>
    <row r="30" spans="1:10" s="106" customFormat="1" ht="17.399999999999999">
      <c r="A30" s="104"/>
      <c r="B30" s="105"/>
      <c r="C30" s="106" t="str">
        <f t="shared" si="0"/>
        <v/>
      </c>
      <c r="D30" s="107"/>
      <c r="E30" s="108"/>
      <c r="F30" s="106" t="str">
        <f t="shared" si="1"/>
        <v/>
      </c>
      <c r="G30" s="107"/>
      <c r="H30" s="108"/>
      <c r="I30" s="106" t="str">
        <f t="shared" si="2"/>
        <v/>
      </c>
    </row>
    <row r="31" spans="1:10" s="106" customFormat="1" ht="17.399999999999999">
      <c r="A31" s="104"/>
      <c r="B31" s="105"/>
      <c r="C31" s="106" t="str">
        <f t="shared" si="0"/>
        <v/>
      </c>
      <c r="D31" s="107"/>
      <c r="E31" s="108"/>
      <c r="F31" s="106" t="str">
        <f t="shared" si="1"/>
        <v/>
      </c>
      <c r="G31" s="107"/>
      <c r="H31" s="108"/>
      <c r="I31" s="106" t="str">
        <f t="shared" si="2"/>
        <v/>
      </c>
    </row>
    <row r="32" spans="1:10" s="106" customFormat="1" ht="17.399999999999999">
      <c r="A32" s="104"/>
      <c r="B32" s="105"/>
      <c r="C32" s="106" t="str">
        <f t="shared" si="0"/>
        <v/>
      </c>
      <c r="D32" s="107"/>
      <c r="E32" s="108"/>
      <c r="F32" s="106" t="str">
        <f t="shared" si="1"/>
        <v/>
      </c>
      <c r="G32" s="107"/>
      <c r="H32" s="108"/>
      <c r="I32" s="106" t="str">
        <f t="shared" si="2"/>
        <v/>
      </c>
    </row>
    <row r="33" spans="1:9" s="106" customFormat="1" ht="17.399999999999999">
      <c r="A33" s="104"/>
      <c r="B33" s="105"/>
      <c r="C33" s="106" t="str">
        <f t="shared" si="0"/>
        <v/>
      </c>
      <c r="D33" s="107"/>
      <c r="E33" s="108"/>
      <c r="F33" s="106" t="str">
        <f t="shared" si="1"/>
        <v/>
      </c>
      <c r="G33" s="107"/>
      <c r="H33" s="108"/>
      <c r="I33" s="106" t="str">
        <f t="shared" si="2"/>
        <v/>
      </c>
    </row>
    <row r="34" spans="1:9" s="106" customFormat="1" ht="17.399999999999999">
      <c r="A34" s="104"/>
      <c r="B34" s="105"/>
      <c r="C34" s="106" t="str">
        <f t="shared" si="0"/>
        <v/>
      </c>
      <c r="D34" s="107"/>
      <c r="E34" s="108"/>
      <c r="F34" s="106" t="str">
        <f t="shared" si="1"/>
        <v/>
      </c>
      <c r="G34" s="107"/>
      <c r="H34" s="108"/>
      <c r="I34" s="106" t="str">
        <f t="shared" si="2"/>
        <v/>
      </c>
    </row>
    <row r="35" spans="1:9" s="106" customFormat="1" ht="17.399999999999999">
      <c r="A35" s="104"/>
      <c r="B35" s="105"/>
      <c r="C35" s="106" t="str">
        <f t="shared" si="0"/>
        <v/>
      </c>
      <c r="D35" s="107"/>
      <c r="E35" s="108"/>
      <c r="F35" s="106" t="str">
        <f t="shared" si="1"/>
        <v/>
      </c>
      <c r="G35" s="107"/>
      <c r="H35" s="108"/>
      <c r="I35" s="106" t="str">
        <f t="shared" si="2"/>
        <v/>
      </c>
    </row>
    <row r="36" spans="1:9" s="106" customFormat="1" ht="17.399999999999999">
      <c r="A36" s="104"/>
      <c r="B36" s="105"/>
      <c r="C36" s="106" t="str">
        <f t="shared" si="0"/>
        <v/>
      </c>
      <c r="D36" s="107"/>
      <c r="E36" s="108"/>
      <c r="F36" s="106" t="str">
        <f t="shared" si="1"/>
        <v/>
      </c>
      <c r="G36" s="107"/>
      <c r="H36" s="108"/>
      <c r="I36" s="106" t="str">
        <f t="shared" si="2"/>
        <v/>
      </c>
    </row>
    <row r="37" spans="1:9" s="106" customFormat="1" ht="17.399999999999999">
      <c r="A37" s="104"/>
      <c r="B37" s="105"/>
      <c r="C37" s="106" t="str">
        <f t="shared" si="0"/>
        <v/>
      </c>
      <c r="D37" s="107"/>
      <c r="E37" s="108"/>
      <c r="F37" s="106" t="str">
        <f t="shared" si="1"/>
        <v/>
      </c>
      <c r="G37" s="107"/>
      <c r="H37" s="108"/>
      <c r="I37" s="106" t="str">
        <f t="shared" si="2"/>
        <v/>
      </c>
    </row>
    <row r="38" spans="1:9" s="106" customFormat="1" ht="17.399999999999999">
      <c r="A38" s="104"/>
      <c r="B38" s="105"/>
      <c r="C38" s="106" t="str">
        <f t="shared" si="0"/>
        <v/>
      </c>
      <c r="D38" s="107"/>
      <c r="E38" s="108"/>
      <c r="F38" s="106" t="str">
        <f t="shared" si="1"/>
        <v/>
      </c>
      <c r="G38" s="107"/>
      <c r="H38" s="108"/>
      <c r="I38" s="106" t="str">
        <f t="shared" si="2"/>
        <v/>
      </c>
    </row>
    <row r="39" spans="1:9" s="106" customFormat="1" ht="17.399999999999999">
      <c r="A39" s="104"/>
      <c r="B39" s="105"/>
      <c r="C39" s="106" t="str">
        <f t="shared" si="0"/>
        <v/>
      </c>
      <c r="D39" s="107"/>
      <c r="E39" s="108"/>
      <c r="F39" s="106" t="str">
        <f t="shared" si="1"/>
        <v/>
      </c>
      <c r="G39" s="107"/>
      <c r="H39" s="108"/>
      <c r="I39" s="106" t="str">
        <f t="shared" si="2"/>
        <v/>
      </c>
    </row>
    <row r="40" spans="1:9" s="106" customFormat="1" ht="17.399999999999999">
      <c r="A40" s="104"/>
      <c r="B40" s="105"/>
      <c r="C40" s="106" t="str">
        <f t="shared" si="0"/>
        <v/>
      </c>
      <c r="D40" s="107"/>
      <c r="E40" s="108"/>
      <c r="F40" s="106" t="str">
        <f t="shared" si="1"/>
        <v/>
      </c>
      <c r="G40" s="107"/>
      <c r="H40" s="108"/>
      <c r="I40" s="106" t="str">
        <f t="shared" si="2"/>
        <v/>
      </c>
    </row>
    <row r="41" spans="1:9" s="106" customFormat="1" ht="17.399999999999999">
      <c r="A41" s="104"/>
      <c r="B41" s="105"/>
      <c r="C41" s="106" t="str">
        <f t="shared" si="0"/>
        <v/>
      </c>
      <c r="D41" s="107"/>
      <c r="E41" s="108"/>
      <c r="F41" s="106" t="str">
        <f t="shared" si="1"/>
        <v/>
      </c>
      <c r="G41" s="107"/>
      <c r="H41" s="108"/>
      <c r="I41" s="106" t="str">
        <f t="shared" si="2"/>
        <v/>
      </c>
    </row>
    <row r="42" spans="1:9" s="106" customFormat="1" ht="17.399999999999999">
      <c r="A42" s="104"/>
      <c r="B42" s="105"/>
      <c r="C42" s="106" t="str">
        <f t="shared" si="0"/>
        <v/>
      </c>
      <c r="D42" s="107"/>
      <c r="E42" s="108"/>
      <c r="F42" s="106" t="str">
        <f t="shared" si="1"/>
        <v/>
      </c>
      <c r="G42" s="107"/>
      <c r="H42" s="108"/>
      <c r="I42" s="106" t="str">
        <f t="shared" si="2"/>
        <v/>
      </c>
    </row>
    <row r="43" spans="1:9" s="106" customFormat="1" ht="17.399999999999999">
      <c r="A43" s="104"/>
      <c r="B43" s="105"/>
      <c r="C43" s="106" t="str">
        <f t="shared" si="0"/>
        <v/>
      </c>
      <c r="D43" s="107"/>
      <c r="E43" s="108"/>
      <c r="F43" s="106" t="str">
        <f t="shared" si="1"/>
        <v/>
      </c>
      <c r="G43" s="107"/>
      <c r="H43" s="108"/>
      <c r="I43" s="106" t="str">
        <f t="shared" si="2"/>
        <v/>
      </c>
    </row>
    <row r="44" spans="1:9" s="106" customFormat="1" ht="17.399999999999999">
      <c r="A44" s="104"/>
      <c r="B44" s="105"/>
      <c r="C44" s="106" t="str">
        <f t="shared" si="0"/>
        <v/>
      </c>
      <c r="D44" s="107"/>
      <c r="E44" s="108"/>
      <c r="F44" s="106" t="str">
        <f t="shared" si="1"/>
        <v/>
      </c>
      <c r="G44" s="107"/>
      <c r="H44" s="108"/>
      <c r="I44" s="106" t="str">
        <f t="shared" si="2"/>
        <v/>
      </c>
    </row>
    <row r="45" spans="1:9" s="106" customFormat="1" ht="17.399999999999999">
      <c r="A45" s="104"/>
      <c r="B45" s="105"/>
      <c r="C45" s="106" t="str">
        <f t="shared" si="0"/>
        <v/>
      </c>
      <c r="D45" s="107"/>
      <c r="E45" s="108"/>
      <c r="F45" s="106" t="str">
        <f t="shared" si="1"/>
        <v/>
      </c>
      <c r="G45" s="107"/>
      <c r="H45" s="108"/>
      <c r="I45" s="106" t="str">
        <f t="shared" si="2"/>
        <v/>
      </c>
    </row>
    <row r="46" spans="1:9" s="106" customFormat="1" ht="17.399999999999999">
      <c r="A46" s="104"/>
      <c r="B46" s="105"/>
      <c r="C46" s="106" t="str">
        <f t="shared" si="0"/>
        <v/>
      </c>
      <c r="D46" s="107"/>
      <c r="E46" s="108"/>
      <c r="F46" s="106" t="str">
        <f t="shared" si="1"/>
        <v/>
      </c>
      <c r="G46" s="107"/>
      <c r="H46" s="108"/>
      <c r="I46" s="106" t="str">
        <f t="shared" si="2"/>
        <v/>
      </c>
    </row>
    <row r="47" spans="1:9" s="106" customFormat="1" ht="17.399999999999999">
      <c r="A47" s="104"/>
      <c r="B47" s="105"/>
      <c r="C47" s="106" t="str">
        <f t="shared" si="0"/>
        <v/>
      </c>
      <c r="D47" s="107"/>
      <c r="E47" s="108"/>
      <c r="F47" s="106" t="str">
        <f t="shared" si="1"/>
        <v/>
      </c>
      <c r="G47" s="107"/>
      <c r="H47" s="108"/>
      <c r="I47" s="106" t="str">
        <f t="shared" si="2"/>
        <v/>
      </c>
    </row>
    <row r="48" spans="1:9" s="106" customFormat="1" ht="17.399999999999999">
      <c r="A48" s="104"/>
      <c r="B48" s="105"/>
      <c r="C48" s="106" t="str">
        <f t="shared" si="0"/>
        <v/>
      </c>
      <c r="D48" s="107"/>
      <c r="E48" s="108"/>
      <c r="F48" s="106" t="str">
        <f t="shared" si="1"/>
        <v/>
      </c>
      <c r="G48" s="107"/>
      <c r="H48" s="108"/>
      <c r="I48" s="106" t="str">
        <f t="shared" si="2"/>
        <v/>
      </c>
    </row>
    <row r="49" spans="1:9" s="106" customFormat="1" ht="17.399999999999999">
      <c r="A49" s="104"/>
      <c r="B49" s="105"/>
      <c r="C49" s="106" t="str">
        <f t="shared" si="0"/>
        <v/>
      </c>
      <c r="D49" s="107"/>
      <c r="E49" s="108"/>
      <c r="F49" s="106" t="str">
        <f t="shared" si="1"/>
        <v/>
      </c>
      <c r="G49" s="107"/>
      <c r="H49" s="108"/>
      <c r="I49" s="106" t="str">
        <f t="shared" si="2"/>
        <v/>
      </c>
    </row>
    <row r="50" spans="1:9" s="106" customFormat="1" ht="17.399999999999999">
      <c r="A50" s="104"/>
      <c r="B50" s="105"/>
      <c r="C50" s="106" t="str">
        <f t="shared" si="0"/>
        <v/>
      </c>
      <c r="D50" s="107"/>
      <c r="E50" s="108"/>
      <c r="F50" s="106" t="str">
        <f t="shared" si="1"/>
        <v/>
      </c>
      <c r="G50" s="107"/>
      <c r="H50" s="108"/>
      <c r="I50" s="106" t="str">
        <f t="shared" si="2"/>
        <v/>
      </c>
    </row>
    <row r="51" spans="1:9" s="106" customFormat="1" ht="17.399999999999999">
      <c r="A51" s="104"/>
      <c r="B51" s="105"/>
      <c r="C51" s="106" t="str">
        <f t="shared" si="0"/>
        <v/>
      </c>
      <c r="D51" s="107"/>
      <c r="E51" s="108"/>
      <c r="F51" s="106" t="str">
        <f t="shared" si="1"/>
        <v/>
      </c>
      <c r="G51" s="107"/>
      <c r="H51" s="108"/>
      <c r="I51" s="106" t="str">
        <f t="shared" si="2"/>
        <v/>
      </c>
    </row>
    <row r="52" spans="1:9" s="106" customFormat="1" ht="17.399999999999999">
      <c r="A52" s="104"/>
      <c r="B52" s="105"/>
      <c r="C52" s="106" t="str">
        <f t="shared" si="0"/>
        <v/>
      </c>
      <c r="D52" s="107"/>
      <c r="E52" s="108"/>
      <c r="F52" s="106" t="str">
        <f t="shared" si="1"/>
        <v/>
      </c>
      <c r="G52" s="107"/>
      <c r="H52" s="108"/>
      <c r="I52" s="106" t="str">
        <f t="shared" si="2"/>
        <v/>
      </c>
    </row>
    <row r="53" spans="1:9" s="106" customFormat="1" ht="17.399999999999999">
      <c r="A53" s="104"/>
      <c r="B53" s="105"/>
      <c r="C53" s="106" t="str">
        <f t="shared" si="0"/>
        <v/>
      </c>
      <c r="D53" s="107"/>
      <c r="E53" s="108"/>
      <c r="F53" s="106" t="str">
        <f t="shared" si="1"/>
        <v/>
      </c>
      <c r="G53" s="107"/>
      <c r="H53" s="108"/>
      <c r="I53" s="106" t="str">
        <f t="shared" si="2"/>
        <v/>
      </c>
    </row>
    <row r="54" spans="1:9" s="106" customFormat="1" ht="17.399999999999999">
      <c r="A54" s="104"/>
      <c r="B54" s="105"/>
      <c r="C54" s="106" t="str">
        <f t="shared" si="0"/>
        <v/>
      </c>
      <c r="D54" s="107"/>
      <c r="E54" s="108"/>
      <c r="F54" s="106" t="str">
        <f t="shared" si="1"/>
        <v/>
      </c>
      <c r="G54" s="107"/>
      <c r="H54" s="108"/>
      <c r="I54" s="106" t="str">
        <f t="shared" si="2"/>
        <v/>
      </c>
    </row>
    <row r="55" spans="1:9" s="106" customFormat="1" ht="17.399999999999999">
      <c r="A55" s="104"/>
      <c r="B55" s="105"/>
      <c r="C55" s="106" t="str">
        <f t="shared" si="0"/>
        <v/>
      </c>
      <c r="D55" s="107"/>
      <c r="E55" s="108"/>
      <c r="F55" s="106" t="str">
        <f t="shared" si="1"/>
        <v/>
      </c>
      <c r="G55" s="107"/>
      <c r="H55" s="108"/>
      <c r="I55" s="106" t="str">
        <f t="shared" si="2"/>
        <v/>
      </c>
    </row>
    <row r="56" spans="1:9" s="106" customFormat="1" ht="17.399999999999999">
      <c r="A56" s="104"/>
      <c r="B56" s="105"/>
      <c r="C56" s="106" t="str">
        <f t="shared" si="0"/>
        <v/>
      </c>
      <c r="D56" s="107"/>
      <c r="E56" s="108"/>
      <c r="F56" s="106" t="str">
        <f t="shared" si="1"/>
        <v/>
      </c>
      <c r="G56" s="107"/>
      <c r="H56" s="108"/>
      <c r="I56" s="106" t="str">
        <f t="shared" si="2"/>
        <v/>
      </c>
    </row>
    <row r="57" spans="1:9" s="106" customFormat="1" ht="17.399999999999999">
      <c r="A57" s="104"/>
      <c r="B57" s="105"/>
      <c r="C57" s="106" t="str">
        <f t="shared" si="0"/>
        <v/>
      </c>
      <c r="D57" s="107"/>
      <c r="E57" s="108"/>
      <c r="F57" s="106" t="str">
        <f t="shared" si="1"/>
        <v/>
      </c>
      <c r="G57" s="107"/>
      <c r="H57" s="108"/>
      <c r="I57" s="106" t="str">
        <f t="shared" si="2"/>
        <v/>
      </c>
    </row>
    <row r="58" spans="1:9" s="106" customFormat="1" ht="17.399999999999999">
      <c r="A58" s="104"/>
      <c r="B58" s="105"/>
      <c r="C58" s="106" t="str">
        <f t="shared" si="0"/>
        <v/>
      </c>
      <c r="D58" s="107"/>
      <c r="E58" s="108"/>
      <c r="F58" s="106" t="str">
        <f t="shared" si="1"/>
        <v/>
      </c>
      <c r="G58" s="107"/>
      <c r="H58" s="108"/>
      <c r="I58" s="106" t="str">
        <f t="shared" si="2"/>
        <v/>
      </c>
    </row>
    <row r="59" spans="1:9" s="106" customFormat="1" ht="17.399999999999999">
      <c r="A59" s="104"/>
      <c r="B59" s="105"/>
      <c r="C59" s="106" t="str">
        <f t="shared" si="0"/>
        <v/>
      </c>
      <c r="D59" s="107"/>
      <c r="E59" s="108"/>
      <c r="F59" s="106" t="str">
        <f t="shared" si="1"/>
        <v/>
      </c>
      <c r="G59" s="107"/>
      <c r="H59" s="108"/>
      <c r="I59" s="106" t="str">
        <f t="shared" si="2"/>
        <v/>
      </c>
    </row>
    <row r="60" spans="1:9" s="106" customFormat="1" ht="17.399999999999999">
      <c r="A60" s="104"/>
      <c r="B60" s="105"/>
      <c r="C60" s="106" t="str">
        <f t="shared" si="0"/>
        <v/>
      </c>
      <c r="D60" s="107"/>
      <c r="E60" s="108"/>
      <c r="F60" s="106" t="str">
        <f t="shared" si="1"/>
        <v/>
      </c>
      <c r="G60" s="107"/>
      <c r="H60" s="108"/>
      <c r="I60" s="106" t="str">
        <f t="shared" si="2"/>
        <v/>
      </c>
    </row>
    <row r="61" spans="1:9" s="106" customFormat="1" ht="17.399999999999999">
      <c r="A61" s="104"/>
      <c r="B61" s="105"/>
      <c r="C61" s="106" t="str">
        <f t="shared" si="0"/>
        <v/>
      </c>
      <c r="D61" s="107"/>
      <c r="E61" s="108"/>
      <c r="F61" s="106" t="str">
        <f t="shared" si="1"/>
        <v/>
      </c>
      <c r="G61" s="107"/>
      <c r="H61" s="108"/>
      <c r="I61" s="106" t="str">
        <f t="shared" si="2"/>
        <v/>
      </c>
    </row>
    <row r="62" spans="1:9" s="106" customFormat="1" ht="17.399999999999999">
      <c r="A62" s="104"/>
      <c r="B62" s="105"/>
      <c r="C62" s="106" t="str">
        <f t="shared" si="0"/>
        <v/>
      </c>
      <c r="D62" s="107"/>
      <c r="E62" s="108"/>
      <c r="F62" s="106" t="str">
        <f t="shared" si="1"/>
        <v/>
      </c>
      <c r="G62" s="107"/>
      <c r="H62" s="108"/>
      <c r="I62" s="106" t="str">
        <f t="shared" si="2"/>
        <v/>
      </c>
    </row>
    <row r="63" spans="1:9" s="106" customFormat="1" ht="17.399999999999999">
      <c r="A63" s="104"/>
      <c r="B63" s="105"/>
      <c r="C63" s="106" t="str">
        <f t="shared" si="0"/>
        <v/>
      </c>
      <c r="D63" s="107"/>
      <c r="E63" s="108"/>
      <c r="F63" s="106" t="str">
        <f t="shared" si="1"/>
        <v/>
      </c>
      <c r="G63" s="107"/>
      <c r="H63" s="108"/>
      <c r="I63" s="106" t="str">
        <f t="shared" si="2"/>
        <v/>
      </c>
    </row>
    <row r="64" spans="1:9" s="106" customFormat="1" ht="17.399999999999999">
      <c r="A64" s="104"/>
      <c r="B64" s="105"/>
      <c r="C64" s="106" t="str">
        <f t="shared" si="0"/>
        <v/>
      </c>
      <c r="D64" s="107"/>
      <c r="E64" s="108"/>
      <c r="F64" s="106" t="str">
        <f t="shared" si="1"/>
        <v/>
      </c>
      <c r="G64" s="107"/>
      <c r="H64" s="108"/>
      <c r="I64" s="106" t="str">
        <f t="shared" si="2"/>
        <v/>
      </c>
    </row>
    <row r="65" spans="1:9" s="106" customFormat="1" ht="17.399999999999999">
      <c r="A65" s="104"/>
      <c r="B65" s="105"/>
      <c r="C65" s="106" t="str">
        <f t="shared" si="0"/>
        <v/>
      </c>
      <c r="D65" s="107"/>
      <c r="E65" s="108"/>
      <c r="F65" s="106" t="str">
        <f t="shared" si="1"/>
        <v/>
      </c>
      <c r="G65" s="107"/>
      <c r="H65" s="108"/>
      <c r="I65" s="106" t="str">
        <f t="shared" si="2"/>
        <v/>
      </c>
    </row>
    <row r="66" spans="1:9" s="106" customFormat="1" ht="17.399999999999999">
      <c r="A66" s="104"/>
      <c r="B66" s="105"/>
      <c r="C66" s="106" t="str">
        <f t="shared" si="0"/>
        <v/>
      </c>
      <c r="D66" s="107"/>
      <c r="E66" s="108"/>
      <c r="F66" s="106" t="str">
        <f t="shared" si="1"/>
        <v/>
      </c>
      <c r="G66" s="107"/>
      <c r="H66" s="108"/>
      <c r="I66" s="106" t="str">
        <f t="shared" si="2"/>
        <v/>
      </c>
    </row>
    <row r="67" spans="1:9" s="106" customFormat="1" ht="17.399999999999999">
      <c r="A67" s="104"/>
      <c r="B67" s="105"/>
      <c r="C67" s="106" t="str">
        <f t="shared" si="0"/>
        <v/>
      </c>
      <c r="D67" s="107"/>
      <c r="E67" s="108"/>
      <c r="F67" s="106" t="str">
        <f t="shared" si="1"/>
        <v/>
      </c>
      <c r="G67" s="107"/>
      <c r="H67" s="108"/>
      <c r="I67" s="106" t="str">
        <f t="shared" si="2"/>
        <v/>
      </c>
    </row>
    <row r="68" spans="1:9" s="106" customFormat="1" ht="17.399999999999999">
      <c r="A68" s="104"/>
      <c r="B68" s="105"/>
      <c r="C68" s="106" t="str">
        <f t="shared" si="0"/>
        <v/>
      </c>
      <c r="D68" s="107"/>
      <c r="E68" s="108"/>
      <c r="F68" s="106" t="str">
        <f t="shared" si="1"/>
        <v/>
      </c>
      <c r="G68" s="107"/>
      <c r="H68" s="108"/>
      <c r="I68" s="106" t="str">
        <f t="shared" si="2"/>
        <v/>
      </c>
    </row>
    <row r="69" spans="1:9" s="106" customFormat="1" ht="17.399999999999999">
      <c r="A69" s="104"/>
      <c r="B69" s="105"/>
      <c r="C69" s="106" t="str">
        <f t="shared" ref="C69:C132" si="3">IF(B69&gt;0,TEXT(B69,"(aaa)"),"")</f>
        <v/>
      </c>
      <c r="D69" s="107"/>
      <c r="E69" s="108"/>
      <c r="F69" s="106" t="str">
        <f t="shared" ref="F69:F132" si="4">IF(E69&gt;0,TEXT(E69,"(aaa)"),"")</f>
        <v/>
      </c>
      <c r="G69" s="107"/>
      <c r="H69" s="108"/>
      <c r="I69" s="106" t="str">
        <f t="shared" ref="I69:I132" si="5">IF(H69&gt;0,TEXT(H69,"(aaa)"),"")</f>
        <v/>
      </c>
    </row>
    <row r="70" spans="1:9" s="106" customFormat="1" ht="17.399999999999999">
      <c r="A70" s="104"/>
      <c r="B70" s="105"/>
      <c r="C70" s="106" t="str">
        <f t="shared" si="3"/>
        <v/>
      </c>
      <c r="D70" s="107"/>
      <c r="E70" s="108"/>
      <c r="F70" s="106" t="str">
        <f t="shared" si="4"/>
        <v/>
      </c>
      <c r="G70" s="107"/>
      <c r="H70" s="108"/>
      <c r="I70" s="106" t="str">
        <f t="shared" si="5"/>
        <v/>
      </c>
    </row>
    <row r="71" spans="1:9" s="106" customFormat="1" ht="17.399999999999999">
      <c r="A71" s="104"/>
      <c r="B71" s="105"/>
      <c r="C71" s="106" t="str">
        <f t="shared" si="3"/>
        <v/>
      </c>
      <c r="D71" s="107"/>
      <c r="E71" s="108"/>
      <c r="F71" s="106" t="str">
        <f t="shared" si="4"/>
        <v/>
      </c>
      <c r="G71" s="107"/>
      <c r="H71" s="108"/>
      <c r="I71" s="106" t="str">
        <f t="shared" si="5"/>
        <v/>
      </c>
    </row>
    <row r="72" spans="1:9" s="106" customFormat="1" ht="17.399999999999999">
      <c r="A72" s="104"/>
      <c r="B72" s="105"/>
      <c r="C72" s="106" t="str">
        <f t="shared" si="3"/>
        <v/>
      </c>
      <c r="D72" s="107"/>
      <c r="E72" s="108"/>
      <c r="F72" s="106" t="str">
        <f t="shared" si="4"/>
        <v/>
      </c>
      <c r="G72" s="107"/>
      <c r="H72" s="108"/>
      <c r="I72" s="106" t="str">
        <f t="shared" si="5"/>
        <v/>
      </c>
    </row>
    <row r="73" spans="1:9" s="106" customFormat="1" ht="17.399999999999999">
      <c r="A73" s="104"/>
      <c r="B73" s="105"/>
      <c r="C73" s="106" t="str">
        <f t="shared" si="3"/>
        <v/>
      </c>
      <c r="D73" s="107"/>
      <c r="E73" s="108"/>
      <c r="F73" s="106" t="str">
        <f t="shared" si="4"/>
        <v/>
      </c>
      <c r="G73" s="107"/>
      <c r="H73" s="108"/>
      <c r="I73" s="106" t="str">
        <f t="shared" si="5"/>
        <v/>
      </c>
    </row>
    <row r="74" spans="1:9" s="106" customFormat="1" ht="17.399999999999999">
      <c r="A74" s="104"/>
      <c r="B74" s="105"/>
      <c r="C74" s="106" t="str">
        <f t="shared" si="3"/>
        <v/>
      </c>
      <c r="D74" s="107"/>
      <c r="E74" s="108"/>
      <c r="F74" s="106" t="str">
        <f t="shared" si="4"/>
        <v/>
      </c>
      <c r="G74" s="107"/>
      <c r="H74" s="108"/>
      <c r="I74" s="106" t="str">
        <f t="shared" si="5"/>
        <v/>
      </c>
    </row>
    <row r="75" spans="1:9" s="106" customFormat="1" ht="17.399999999999999">
      <c r="A75" s="104"/>
      <c r="B75" s="105"/>
      <c r="C75" s="106" t="str">
        <f t="shared" si="3"/>
        <v/>
      </c>
      <c r="D75" s="107"/>
      <c r="E75" s="108"/>
      <c r="F75" s="106" t="str">
        <f t="shared" si="4"/>
        <v/>
      </c>
      <c r="G75" s="107"/>
      <c r="H75" s="108"/>
      <c r="I75" s="106" t="str">
        <f t="shared" si="5"/>
        <v/>
      </c>
    </row>
    <row r="76" spans="1:9" s="106" customFormat="1" ht="17.399999999999999">
      <c r="A76" s="104"/>
      <c r="B76" s="105"/>
      <c r="C76" s="106" t="str">
        <f t="shared" si="3"/>
        <v/>
      </c>
      <c r="D76" s="107"/>
      <c r="E76" s="108"/>
      <c r="F76" s="106" t="str">
        <f t="shared" si="4"/>
        <v/>
      </c>
      <c r="G76" s="107"/>
      <c r="H76" s="108"/>
      <c r="I76" s="106" t="str">
        <f t="shared" si="5"/>
        <v/>
      </c>
    </row>
    <row r="77" spans="1:9" s="106" customFormat="1" ht="17.399999999999999">
      <c r="A77" s="104"/>
      <c r="B77" s="105"/>
      <c r="C77" s="106" t="str">
        <f t="shared" si="3"/>
        <v/>
      </c>
      <c r="D77" s="107"/>
      <c r="E77" s="108"/>
      <c r="F77" s="106" t="str">
        <f t="shared" si="4"/>
        <v/>
      </c>
      <c r="G77" s="107"/>
      <c r="H77" s="108"/>
      <c r="I77" s="106" t="str">
        <f t="shared" si="5"/>
        <v/>
      </c>
    </row>
    <row r="78" spans="1:9" s="106" customFormat="1" ht="17.399999999999999">
      <c r="A78" s="104"/>
      <c r="B78" s="105"/>
      <c r="C78" s="106" t="str">
        <f t="shared" si="3"/>
        <v/>
      </c>
      <c r="D78" s="107"/>
      <c r="E78" s="108"/>
      <c r="F78" s="106" t="str">
        <f t="shared" si="4"/>
        <v/>
      </c>
      <c r="G78" s="107"/>
      <c r="H78" s="108"/>
      <c r="I78" s="106" t="str">
        <f t="shared" si="5"/>
        <v/>
      </c>
    </row>
    <row r="79" spans="1:9" s="106" customFormat="1" ht="17.399999999999999">
      <c r="A79" s="104"/>
      <c r="B79" s="105"/>
      <c r="C79" s="106" t="str">
        <f t="shared" si="3"/>
        <v/>
      </c>
      <c r="D79" s="107"/>
      <c r="E79" s="108"/>
      <c r="F79" s="106" t="str">
        <f t="shared" si="4"/>
        <v/>
      </c>
      <c r="G79" s="107"/>
      <c r="H79" s="108"/>
      <c r="I79" s="106" t="str">
        <f t="shared" si="5"/>
        <v/>
      </c>
    </row>
    <row r="80" spans="1:9" s="106" customFormat="1" ht="17.399999999999999">
      <c r="A80" s="104"/>
      <c r="B80" s="105"/>
      <c r="C80" s="106" t="str">
        <f t="shared" si="3"/>
        <v/>
      </c>
      <c r="D80" s="107"/>
      <c r="E80" s="108"/>
      <c r="F80" s="106" t="str">
        <f t="shared" si="4"/>
        <v/>
      </c>
      <c r="G80" s="107"/>
      <c r="H80" s="108"/>
      <c r="I80" s="106" t="str">
        <f t="shared" si="5"/>
        <v/>
      </c>
    </row>
    <row r="81" spans="1:9" s="106" customFormat="1" ht="17.399999999999999">
      <c r="A81" s="104"/>
      <c r="B81" s="105"/>
      <c r="C81" s="106" t="str">
        <f t="shared" si="3"/>
        <v/>
      </c>
      <c r="D81" s="107"/>
      <c r="E81" s="108"/>
      <c r="F81" s="106" t="str">
        <f t="shared" si="4"/>
        <v/>
      </c>
      <c r="G81" s="107"/>
      <c r="H81" s="108"/>
      <c r="I81" s="106" t="str">
        <f t="shared" si="5"/>
        <v/>
      </c>
    </row>
    <row r="82" spans="1:9" s="106" customFormat="1" ht="17.399999999999999">
      <c r="A82" s="104"/>
      <c r="B82" s="105"/>
      <c r="C82" s="106" t="str">
        <f t="shared" si="3"/>
        <v/>
      </c>
      <c r="D82" s="107"/>
      <c r="E82" s="108"/>
      <c r="F82" s="106" t="str">
        <f t="shared" si="4"/>
        <v/>
      </c>
      <c r="G82" s="107"/>
      <c r="H82" s="108"/>
      <c r="I82" s="106" t="str">
        <f t="shared" si="5"/>
        <v/>
      </c>
    </row>
    <row r="83" spans="1:9" s="106" customFormat="1" ht="17.399999999999999">
      <c r="A83" s="104"/>
      <c r="B83" s="105"/>
      <c r="C83" s="106" t="str">
        <f t="shared" si="3"/>
        <v/>
      </c>
      <c r="D83" s="107"/>
      <c r="E83" s="108"/>
      <c r="F83" s="106" t="str">
        <f t="shared" si="4"/>
        <v/>
      </c>
      <c r="G83" s="107"/>
      <c r="H83" s="108"/>
      <c r="I83" s="106" t="str">
        <f t="shared" si="5"/>
        <v/>
      </c>
    </row>
    <row r="84" spans="1:9" s="106" customFormat="1" ht="17.399999999999999">
      <c r="A84" s="104"/>
      <c r="B84" s="105"/>
      <c r="C84" s="106" t="str">
        <f t="shared" si="3"/>
        <v/>
      </c>
      <c r="D84" s="107"/>
      <c r="E84" s="108"/>
      <c r="F84" s="106" t="str">
        <f t="shared" si="4"/>
        <v/>
      </c>
      <c r="G84" s="107"/>
      <c r="H84" s="108"/>
      <c r="I84" s="106" t="str">
        <f t="shared" si="5"/>
        <v/>
      </c>
    </row>
    <row r="85" spans="1:9" s="106" customFormat="1" ht="17.399999999999999">
      <c r="A85" s="104"/>
      <c r="B85" s="105"/>
      <c r="C85" s="106" t="str">
        <f t="shared" si="3"/>
        <v/>
      </c>
      <c r="D85" s="107"/>
      <c r="E85" s="108"/>
      <c r="F85" s="106" t="str">
        <f t="shared" si="4"/>
        <v/>
      </c>
      <c r="G85" s="107"/>
      <c r="H85" s="108"/>
      <c r="I85" s="106" t="str">
        <f t="shared" si="5"/>
        <v/>
      </c>
    </row>
    <row r="86" spans="1:9" s="106" customFormat="1" ht="17.399999999999999">
      <c r="A86" s="104"/>
      <c r="B86" s="105"/>
      <c r="C86" s="106" t="str">
        <f t="shared" si="3"/>
        <v/>
      </c>
      <c r="D86" s="107"/>
      <c r="E86" s="108"/>
      <c r="F86" s="106" t="str">
        <f t="shared" si="4"/>
        <v/>
      </c>
      <c r="G86" s="107"/>
      <c r="H86" s="108"/>
      <c r="I86" s="106" t="str">
        <f t="shared" si="5"/>
        <v/>
      </c>
    </row>
    <row r="87" spans="1:9" s="106" customFormat="1" ht="17.399999999999999">
      <c r="A87" s="104"/>
      <c r="B87" s="105"/>
      <c r="C87" s="106" t="str">
        <f t="shared" si="3"/>
        <v/>
      </c>
      <c r="D87" s="107"/>
      <c r="E87" s="108"/>
      <c r="F87" s="106" t="str">
        <f t="shared" si="4"/>
        <v/>
      </c>
      <c r="G87" s="107"/>
      <c r="H87" s="108"/>
      <c r="I87" s="106" t="str">
        <f t="shared" si="5"/>
        <v/>
      </c>
    </row>
    <row r="88" spans="1:9" s="106" customFormat="1" ht="17.399999999999999">
      <c r="A88" s="104"/>
      <c r="B88" s="105"/>
      <c r="C88" s="106" t="str">
        <f t="shared" si="3"/>
        <v/>
      </c>
      <c r="D88" s="107"/>
      <c r="E88" s="108"/>
      <c r="F88" s="106" t="str">
        <f t="shared" si="4"/>
        <v/>
      </c>
      <c r="G88" s="107"/>
      <c r="H88" s="108"/>
      <c r="I88" s="106" t="str">
        <f t="shared" si="5"/>
        <v/>
      </c>
    </row>
    <row r="89" spans="1:9" s="106" customFormat="1" ht="17.399999999999999">
      <c r="A89" s="104"/>
      <c r="B89" s="105"/>
      <c r="C89" s="106" t="str">
        <f t="shared" si="3"/>
        <v/>
      </c>
      <c r="D89" s="107"/>
      <c r="E89" s="108"/>
      <c r="F89" s="106" t="str">
        <f t="shared" si="4"/>
        <v/>
      </c>
      <c r="G89" s="107"/>
      <c r="H89" s="108"/>
      <c r="I89" s="106" t="str">
        <f t="shared" si="5"/>
        <v/>
      </c>
    </row>
    <row r="90" spans="1:9" s="106" customFormat="1" ht="17.399999999999999">
      <c r="A90" s="104"/>
      <c r="B90" s="105"/>
      <c r="C90" s="106" t="str">
        <f t="shared" si="3"/>
        <v/>
      </c>
      <c r="D90" s="107"/>
      <c r="E90" s="108"/>
      <c r="F90" s="106" t="str">
        <f t="shared" si="4"/>
        <v/>
      </c>
      <c r="G90" s="107"/>
      <c r="H90" s="108"/>
      <c r="I90" s="106" t="str">
        <f t="shared" si="5"/>
        <v/>
      </c>
    </row>
    <row r="91" spans="1:9" s="106" customFormat="1" ht="17.399999999999999">
      <c r="A91" s="104"/>
      <c r="B91" s="105"/>
      <c r="C91" s="106" t="str">
        <f t="shared" si="3"/>
        <v/>
      </c>
      <c r="D91" s="107"/>
      <c r="E91" s="108"/>
      <c r="F91" s="106" t="str">
        <f t="shared" si="4"/>
        <v/>
      </c>
      <c r="G91" s="107"/>
      <c r="H91" s="108"/>
      <c r="I91" s="106" t="str">
        <f t="shared" si="5"/>
        <v/>
      </c>
    </row>
    <row r="92" spans="1:9" s="106" customFormat="1" ht="17.399999999999999">
      <c r="A92" s="104"/>
      <c r="B92" s="105"/>
      <c r="C92" s="106" t="str">
        <f t="shared" si="3"/>
        <v/>
      </c>
      <c r="D92" s="107"/>
      <c r="E92" s="108"/>
      <c r="F92" s="106" t="str">
        <f t="shared" si="4"/>
        <v/>
      </c>
      <c r="G92" s="107"/>
      <c r="H92" s="108"/>
      <c r="I92" s="106" t="str">
        <f t="shared" si="5"/>
        <v/>
      </c>
    </row>
    <row r="93" spans="1:9" s="106" customFormat="1" ht="17.399999999999999">
      <c r="A93" s="104"/>
      <c r="B93" s="105"/>
      <c r="C93" s="106" t="str">
        <f t="shared" si="3"/>
        <v/>
      </c>
      <c r="D93" s="107"/>
      <c r="E93" s="108"/>
      <c r="F93" s="106" t="str">
        <f t="shared" si="4"/>
        <v/>
      </c>
      <c r="G93" s="107"/>
      <c r="H93" s="108"/>
      <c r="I93" s="106" t="str">
        <f t="shared" si="5"/>
        <v/>
      </c>
    </row>
    <row r="94" spans="1:9" s="106" customFormat="1" ht="17.399999999999999">
      <c r="A94" s="104"/>
      <c r="B94" s="105"/>
      <c r="C94" s="106" t="str">
        <f t="shared" si="3"/>
        <v/>
      </c>
      <c r="D94" s="107"/>
      <c r="E94" s="108"/>
      <c r="F94" s="106" t="str">
        <f t="shared" si="4"/>
        <v/>
      </c>
      <c r="G94" s="107"/>
      <c r="H94" s="108"/>
      <c r="I94" s="106" t="str">
        <f t="shared" si="5"/>
        <v/>
      </c>
    </row>
    <row r="95" spans="1:9" s="106" customFormat="1" ht="17.399999999999999">
      <c r="A95" s="104"/>
      <c r="B95" s="105"/>
      <c r="C95" s="106" t="str">
        <f t="shared" si="3"/>
        <v/>
      </c>
      <c r="D95" s="107"/>
      <c r="E95" s="108"/>
      <c r="F95" s="106" t="str">
        <f t="shared" si="4"/>
        <v/>
      </c>
      <c r="G95" s="107"/>
      <c r="H95" s="108"/>
      <c r="I95" s="106" t="str">
        <f t="shared" si="5"/>
        <v/>
      </c>
    </row>
    <row r="96" spans="1:9" s="106" customFormat="1" ht="17.399999999999999">
      <c r="A96" s="104"/>
      <c r="B96" s="105"/>
      <c r="C96" s="106" t="str">
        <f t="shared" si="3"/>
        <v/>
      </c>
      <c r="D96" s="107"/>
      <c r="E96" s="108"/>
      <c r="F96" s="106" t="str">
        <f t="shared" si="4"/>
        <v/>
      </c>
      <c r="G96" s="107"/>
      <c r="H96" s="108"/>
      <c r="I96" s="106" t="str">
        <f t="shared" si="5"/>
        <v/>
      </c>
    </row>
    <row r="97" spans="1:9" s="106" customFormat="1" ht="17.399999999999999">
      <c r="A97" s="104"/>
      <c r="B97" s="105"/>
      <c r="C97" s="106" t="str">
        <f t="shared" si="3"/>
        <v/>
      </c>
      <c r="D97" s="107"/>
      <c r="E97" s="108"/>
      <c r="F97" s="106" t="str">
        <f t="shared" si="4"/>
        <v/>
      </c>
      <c r="G97" s="107"/>
      <c r="H97" s="108"/>
      <c r="I97" s="106" t="str">
        <f t="shared" si="5"/>
        <v/>
      </c>
    </row>
    <row r="98" spans="1:9" s="106" customFormat="1" ht="17.399999999999999">
      <c r="A98" s="104"/>
      <c r="B98" s="105"/>
      <c r="C98" s="106" t="str">
        <f t="shared" si="3"/>
        <v/>
      </c>
      <c r="D98" s="107"/>
      <c r="E98" s="108"/>
      <c r="F98" s="106" t="str">
        <f t="shared" si="4"/>
        <v/>
      </c>
      <c r="G98" s="107"/>
      <c r="H98" s="108"/>
      <c r="I98" s="106" t="str">
        <f t="shared" si="5"/>
        <v/>
      </c>
    </row>
    <row r="99" spans="1:9" s="106" customFormat="1" ht="17.399999999999999">
      <c r="A99" s="104"/>
      <c r="B99" s="105"/>
      <c r="C99" s="106" t="str">
        <f t="shared" si="3"/>
        <v/>
      </c>
      <c r="D99" s="107"/>
      <c r="E99" s="108"/>
      <c r="F99" s="106" t="str">
        <f t="shared" si="4"/>
        <v/>
      </c>
      <c r="G99" s="107"/>
      <c r="H99" s="108"/>
      <c r="I99" s="106" t="str">
        <f t="shared" si="5"/>
        <v/>
      </c>
    </row>
    <row r="100" spans="1:9" s="106" customFormat="1" ht="17.399999999999999">
      <c r="A100" s="104"/>
      <c r="B100" s="105"/>
      <c r="C100" s="106" t="str">
        <f t="shared" si="3"/>
        <v/>
      </c>
      <c r="D100" s="107"/>
      <c r="E100" s="108"/>
      <c r="F100" s="106" t="str">
        <f t="shared" si="4"/>
        <v/>
      </c>
      <c r="G100" s="107"/>
      <c r="H100" s="108"/>
      <c r="I100" s="106" t="str">
        <f t="shared" si="5"/>
        <v/>
      </c>
    </row>
    <row r="101" spans="1:9" s="106" customFormat="1" ht="17.399999999999999">
      <c r="A101" s="104"/>
      <c r="B101" s="105"/>
      <c r="C101" s="106" t="str">
        <f t="shared" si="3"/>
        <v/>
      </c>
      <c r="D101" s="107"/>
      <c r="E101" s="108"/>
      <c r="F101" s="106" t="str">
        <f t="shared" si="4"/>
        <v/>
      </c>
      <c r="G101" s="107"/>
      <c r="H101" s="108"/>
      <c r="I101" s="106" t="str">
        <f t="shared" si="5"/>
        <v/>
      </c>
    </row>
    <row r="102" spans="1:9" s="106" customFormat="1" ht="17.399999999999999">
      <c r="A102" s="104"/>
      <c r="B102" s="105"/>
      <c r="C102" s="106" t="str">
        <f t="shared" si="3"/>
        <v/>
      </c>
      <c r="D102" s="107"/>
      <c r="E102" s="108"/>
      <c r="F102" s="106" t="str">
        <f t="shared" si="4"/>
        <v/>
      </c>
      <c r="G102" s="107"/>
      <c r="H102" s="108"/>
      <c r="I102" s="106" t="str">
        <f t="shared" si="5"/>
        <v/>
      </c>
    </row>
    <row r="103" spans="1:9" s="106" customFormat="1" ht="17.399999999999999">
      <c r="A103" s="104"/>
      <c r="B103" s="105"/>
      <c r="C103" s="106" t="str">
        <f t="shared" si="3"/>
        <v/>
      </c>
      <c r="D103" s="107"/>
      <c r="E103" s="108"/>
      <c r="F103" s="106" t="str">
        <f t="shared" si="4"/>
        <v/>
      </c>
      <c r="G103" s="107"/>
      <c r="H103" s="108"/>
      <c r="I103" s="106" t="str">
        <f t="shared" si="5"/>
        <v/>
      </c>
    </row>
    <row r="104" spans="1:9" s="106" customFormat="1" ht="17.399999999999999">
      <c r="A104" s="104"/>
      <c r="B104" s="105"/>
      <c r="C104" s="106" t="str">
        <f t="shared" si="3"/>
        <v/>
      </c>
      <c r="D104" s="107"/>
      <c r="E104" s="108"/>
      <c r="F104" s="106" t="str">
        <f t="shared" si="4"/>
        <v/>
      </c>
      <c r="G104" s="107"/>
      <c r="H104" s="108"/>
      <c r="I104" s="106" t="str">
        <f t="shared" si="5"/>
        <v/>
      </c>
    </row>
    <row r="105" spans="1:9" s="106" customFormat="1" ht="17.399999999999999">
      <c r="A105" s="104"/>
      <c r="B105" s="105"/>
      <c r="C105" s="106" t="str">
        <f t="shared" si="3"/>
        <v/>
      </c>
      <c r="D105" s="107"/>
      <c r="E105" s="108"/>
      <c r="F105" s="106" t="str">
        <f t="shared" si="4"/>
        <v/>
      </c>
      <c r="G105" s="107"/>
      <c r="H105" s="108"/>
      <c r="I105" s="106" t="str">
        <f t="shared" si="5"/>
        <v/>
      </c>
    </row>
    <row r="106" spans="1:9" s="106" customFormat="1" ht="17.399999999999999">
      <c r="A106" s="104"/>
      <c r="B106" s="105"/>
      <c r="C106" s="106" t="str">
        <f t="shared" si="3"/>
        <v/>
      </c>
      <c r="D106" s="107"/>
      <c r="E106" s="108"/>
      <c r="F106" s="106" t="str">
        <f t="shared" si="4"/>
        <v/>
      </c>
      <c r="G106" s="107"/>
      <c r="H106" s="108"/>
      <c r="I106" s="106" t="str">
        <f t="shared" si="5"/>
        <v/>
      </c>
    </row>
    <row r="107" spans="1:9" s="106" customFormat="1" ht="17.399999999999999">
      <c r="A107" s="104"/>
      <c r="B107" s="105"/>
      <c r="C107" s="106" t="str">
        <f t="shared" si="3"/>
        <v/>
      </c>
      <c r="D107" s="107"/>
      <c r="E107" s="108"/>
      <c r="F107" s="106" t="str">
        <f t="shared" si="4"/>
        <v/>
      </c>
      <c r="G107" s="107"/>
      <c r="H107" s="108"/>
      <c r="I107" s="106" t="str">
        <f t="shared" si="5"/>
        <v/>
      </c>
    </row>
    <row r="108" spans="1:9" s="106" customFormat="1" ht="17.399999999999999">
      <c r="A108" s="104"/>
      <c r="B108" s="105"/>
      <c r="C108" s="106" t="str">
        <f t="shared" si="3"/>
        <v/>
      </c>
      <c r="D108" s="107"/>
      <c r="E108" s="108"/>
      <c r="F108" s="106" t="str">
        <f t="shared" si="4"/>
        <v/>
      </c>
      <c r="G108" s="107"/>
      <c r="H108" s="108"/>
      <c r="I108" s="106" t="str">
        <f t="shared" si="5"/>
        <v/>
      </c>
    </row>
    <row r="109" spans="1:9" s="106" customFormat="1" ht="17.399999999999999">
      <c r="A109" s="104"/>
      <c r="B109" s="105"/>
      <c r="C109" s="106" t="str">
        <f t="shared" si="3"/>
        <v/>
      </c>
      <c r="D109" s="107"/>
      <c r="E109" s="108"/>
      <c r="F109" s="106" t="str">
        <f t="shared" si="4"/>
        <v/>
      </c>
      <c r="G109" s="107"/>
      <c r="H109" s="108"/>
      <c r="I109" s="106" t="str">
        <f t="shared" si="5"/>
        <v/>
      </c>
    </row>
    <row r="110" spans="1:9" s="106" customFormat="1" ht="17.399999999999999">
      <c r="A110" s="104"/>
      <c r="B110" s="105"/>
      <c r="C110" s="106" t="str">
        <f t="shared" si="3"/>
        <v/>
      </c>
      <c r="D110" s="107"/>
      <c r="E110" s="108"/>
      <c r="F110" s="106" t="str">
        <f t="shared" si="4"/>
        <v/>
      </c>
      <c r="G110" s="107"/>
      <c r="H110" s="108"/>
      <c r="I110" s="106" t="str">
        <f t="shared" si="5"/>
        <v/>
      </c>
    </row>
    <row r="111" spans="1:9" s="106" customFormat="1" ht="17.399999999999999">
      <c r="A111" s="104"/>
      <c r="B111" s="105"/>
      <c r="C111" s="106" t="str">
        <f t="shared" si="3"/>
        <v/>
      </c>
      <c r="D111" s="107"/>
      <c r="E111" s="108"/>
      <c r="F111" s="106" t="str">
        <f t="shared" si="4"/>
        <v/>
      </c>
      <c r="G111" s="107"/>
      <c r="H111" s="108"/>
      <c r="I111" s="106" t="str">
        <f t="shared" si="5"/>
        <v/>
      </c>
    </row>
    <row r="112" spans="1:9" s="106" customFormat="1" ht="17.399999999999999">
      <c r="A112" s="104"/>
      <c r="B112" s="105"/>
      <c r="C112" s="106" t="str">
        <f t="shared" si="3"/>
        <v/>
      </c>
      <c r="D112" s="107"/>
      <c r="E112" s="108"/>
      <c r="F112" s="106" t="str">
        <f t="shared" si="4"/>
        <v/>
      </c>
      <c r="G112" s="107"/>
      <c r="H112" s="108"/>
      <c r="I112" s="106" t="str">
        <f t="shared" si="5"/>
        <v/>
      </c>
    </row>
    <row r="113" spans="1:9" s="106" customFormat="1" ht="17.399999999999999">
      <c r="A113" s="104"/>
      <c r="B113" s="105"/>
      <c r="C113" s="106" t="str">
        <f t="shared" si="3"/>
        <v/>
      </c>
      <c r="D113" s="107"/>
      <c r="E113" s="108"/>
      <c r="F113" s="106" t="str">
        <f t="shared" si="4"/>
        <v/>
      </c>
      <c r="G113" s="107"/>
      <c r="H113" s="108"/>
      <c r="I113" s="106" t="str">
        <f t="shared" si="5"/>
        <v/>
      </c>
    </row>
    <row r="114" spans="1:9" s="106" customFormat="1" ht="17.399999999999999">
      <c r="A114" s="104"/>
      <c r="B114" s="105"/>
      <c r="C114" s="106" t="str">
        <f t="shared" si="3"/>
        <v/>
      </c>
      <c r="D114" s="107"/>
      <c r="E114" s="108"/>
      <c r="F114" s="106" t="str">
        <f t="shared" si="4"/>
        <v/>
      </c>
      <c r="G114" s="107"/>
      <c r="H114" s="108"/>
      <c r="I114" s="106" t="str">
        <f t="shared" si="5"/>
        <v/>
      </c>
    </row>
    <row r="115" spans="1:9" s="106" customFormat="1" ht="17.399999999999999">
      <c r="A115" s="104"/>
      <c r="B115" s="105"/>
      <c r="C115" s="106" t="str">
        <f t="shared" si="3"/>
        <v/>
      </c>
      <c r="D115" s="107"/>
      <c r="E115" s="108"/>
      <c r="F115" s="106" t="str">
        <f t="shared" si="4"/>
        <v/>
      </c>
      <c r="G115" s="107"/>
      <c r="H115" s="108"/>
      <c r="I115" s="106" t="str">
        <f t="shared" si="5"/>
        <v/>
      </c>
    </row>
    <row r="116" spans="1:9" s="106" customFormat="1" ht="17.399999999999999">
      <c r="A116" s="104"/>
      <c r="B116" s="105"/>
      <c r="C116" s="106" t="str">
        <f t="shared" si="3"/>
        <v/>
      </c>
      <c r="D116" s="107"/>
      <c r="E116" s="108"/>
      <c r="F116" s="106" t="str">
        <f t="shared" si="4"/>
        <v/>
      </c>
      <c r="G116" s="107"/>
      <c r="H116" s="108"/>
      <c r="I116" s="106" t="str">
        <f t="shared" si="5"/>
        <v/>
      </c>
    </row>
    <row r="117" spans="1:9" s="106" customFormat="1" ht="17.399999999999999">
      <c r="A117" s="104"/>
      <c r="B117" s="105"/>
      <c r="C117" s="106" t="str">
        <f t="shared" si="3"/>
        <v/>
      </c>
      <c r="D117" s="107"/>
      <c r="E117" s="108"/>
      <c r="F117" s="106" t="str">
        <f t="shared" si="4"/>
        <v/>
      </c>
      <c r="G117" s="107"/>
      <c r="H117" s="108"/>
      <c r="I117" s="106" t="str">
        <f t="shared" si="5"/>
        <v/>
      </c>
    </row>
    <row r="118" spans="1:9" s="106" customFormat="1" ht="17.399999999999999">
      <c r="A118" s="104"/>
      <c r="B118" s="105"/>
      <c r="C118" s="106" t="str">
        <f t="shared" si="3"/>
        <v/>
      </c>
      <c r="D118" s="107"/>
      <c r="E118" s="108"/>
      <c r="F118" s="106" t="str">
        <f t="shared" si="4"/>
        <v/>
      </c>
      <c r="G118" s="107"/>
      <c r="H118" s="108"/>
      <c r="I118" s="106" t="str">
        <f t="shared" si="5"/>
        <v/>
      </c>
    </row>
    <row r="119" spans="1:9" s="106" customFormat="1" ht="17.399999999999999">
      <c r="A119" s="104"/>
      <c r="B119" s="105"/>
      <c r="C119" s="106" t="str">
        <f t="shared" si="3"/>
        <v/>
      </c>
      <c r="D119" s="107"/>
      <c r="E119" s="108"/>
      <c r="F119" s="106" t="str">
        <f t="shared" si="4"/>
        <v/>
      </c>
      <c r="G119" s="107"/>
      <c r="H119" s="108"/>
      <c r="I119" s="106" t="str">
        <f t="shared" si="5"/>
        <v/>
      </c>
    </row>
    <row r="120" spans="1:9" s="106" customFormat="1" ht="17.399999999999999">
      <c r="A120" s="104"/>
      <c r="B120" s="105"/>
      <c r="C120" s="106" t="str">
        <f t="shared" si="3"/>
        <v/>
      </c>
      <c r="D120" s="107"/>
      <c r="E120" s="108"/>
      <c r="F120" s="106" t="str">
        <f t="shared" si="4"/>
        <v/>
      </c>
      <c r="G120" s="107"/>
      <c r="H120" s="108"/>
      <c r="I120" s="106" t="str">
        <f t="shared" si="5"/>
        <v/>
      </c>
    </row>
    <row r="121" spans="1:9" s="106" customFormat="1" ht="17.399999999999999">
      <c r="A121" s="104"/>
      <c r="B121" s="105"/>
      <c r="C121" s="106" t="str">
        <f t="shared" si="3"/>
        <v/>
      </c>
      <c r="D121" s="107"/>
      <c r="E121" s="108"/>
      <c r="F121" s="106" t="str">
        <f t="shared" si="4"/>
        <v/>
      </c>
      <c r="G121" s="107"/>
      <c r="H121" s="108"/>
      <c r="I121" s="106" t="str">
        <f t="shared" si="5"/>
        <v/>
      </c>
    </row>
    <row r="122" spans="1:9" s="106" customFormat="1" ht="17.399999999999999">
      <c r="A122" s="104"/>
      <c r="B122" s="105"/>
      <c r="C122" s="106" t="str">
        <f t="shared" si="3"/>
        <v/>
      </c>
      <c r="D122" s="107"/>
      <c r="E122" s="108"/>
      <c r="F122" s="106" t="str">
        <f t="shared" si="4"/>
        <v/>
      </c>
      <c r="G122" s="107"/>
      <c r="H122" s="108"/>
      <c r="I122" s="106" t="str">
        <f t="shared" si="5"/>
        <v/>
      </c>
    </row>
    <row r="123" spans="1:9" s="106" customFormat="1" ht="17.399999999999999">
      <c r="A123" s="104"/>
      <c r="B123" s="110"/>
      <c r="C123" s="106" t="str">
        <f t="shared" si="3"/>
        <v/>
      </c>
      <c r="D123" s="107"/>
      <c r="E123" s="108"/>
      <c r="F123" s="106" t="str">
        <f t="shared" si="4"/>
        <v/>
      </c>
      <c r="G123" s="107"/>
      <c r="H123" s="108"/>
      <c r="I123" s="106" t="str">
        <f t="shared" si="5"/>
        <v/>
      </c>
    </row>
    <row r="124" spans="1:9" s="106" customFormat="1" ht="17.399999999999999">
      <c r="A124" s="104"/>
      <c r="B124" s="105"/>
      <c r="C124" s="106" t="str">
        <f t="shared" si="3"/>
        <v/>
      </c>
      <c r="D124" s="107"/>
      <c r="E124" s="108"/>
      <c r="F124" s="106" t="str">
        <f t="shared" si="4"/>
        <v/>
      </c>
      <c r="G124" s="107"/>
      <c r="H124" s="108"/>
      <c r="I124" s="106" t="str">
        <f t="shared" si="5"/>
        <v/>
      </c>
    </row>
    <row r="125" spans="1:9" s="106" customFormat="1" ht="17.399999999999999">
      <c r="A125" s="104"/>
      <c r="B125" s="105"/>
      <c r="C125" s="106" t="str">
        <f t="shared" si="3"/>
        <v/>
      </c>
      <c r="D125" s="107"/>
      <c r="E125" s="108"/>
      <c r="F125" s="106" t="str">
        <f t="shared" si="4"/>
        <v/>
      </c>
      <c r="G125" s="107"/>
      <c r="H125" s="108"/>
      <c r="I125" s="106" t="str">
        <f t="shared" si="5"/>
        <v/>
      </c>
    </row>
    <row r="126" spans="1:9" s="106" customFormat="1" ht="17.399999999999999">
      <c r="A126" s="104"/>
      <c r="B126" s="105"/>
      <c r="C126" s="106" t="str">
        <f t="shared" si="3"/>
        <v/>
      </c>
      <c r="D126" s="107"/>
      <c r="E126" s="108"/>
      <c r="F126" s="106" t="str">
        <f t="shared" si="4"/>
        <v/>
      </c>
      <c r="G126" s="107"/>
      <c r="H126" s="108"/>
      <c r="I126" s="106" t="str">
        <f t="shared" si="5"/>
        <v/>
      </c>
    </row>
    <row r="127" spans="1:9" s="106" customFormat="1" ht="17.399999999999999">
      <c r="A127" s="104"/>
      <c r="B127" s="105"/>
      <c r="C127" s="106" t="str">
        <f t="shared" si="3"/>
        <v/>
      </c>
      <c r="D127" s="107"/>
      <c r="E127" s="108"/>
      <c r="F127" s="106" t="str">
        <f t="shared" si="4"/>
        <v/>
      </c>
      <c r="G127" s="107"/>
      <c r="H127" s="108"/>
      <c r="I127" s="106" t="str">
        <f t="shared" si="5"/>
        <v/>
      </c>
    </row>
    <row r="128" spans="1:9" s="106" customFormat="1" ht="17.399999999999999">
      <c r="A128" s="104"/>
      <c r="B128" s="105"/>
      <c r="C128" s="106" t="str">
        <f t="shared" si="3"/>
        <v/>
      </c>
      <c r="D128" s="107"/>
      <c r="E128" s="108"/>
      <c r="F128" s="106" t="str">
        <f t="shared" si="4"/>
        <v/>
      </c>
      <c r="G128" s="107"/>
      <c r="H128" s="108"/>
      <c r="I128" s="106" t="str">
        <f t="shared" si="5"/>
        <v/>
      </c>
    </row>
    <row r="129" spans="1:9" s="106" customFormat="1" ht="17.399999999999999">
      <c r="A129" s="104"/>
      <c r="B129" s="105"/>
      <c r="C129" s="106" t="str">
        <f t="shared" si="3"/>
        <v/>
      </c>
      <c r="D129" s="107"/>
      <c r="E129" s="108"/>
      <c r="F129" s="106" t="str">
        <f t="shared" si="4"/>
        <v/>
      </c>
      <c r="G129" s="107"/>
      <c r="H129" s="108"/>
      <c r="I129" s="106" t="str">
        <f t="shared" si="5"/>
        <v/>
      </c>
    </row>
    <row r="130" spans="1:9" s="106" customFormat="1" ht="17.399999999999999">
      <c r="A130" s="104"/>
      <c r="B130" s="105"/>
      <c r="C130" s="106" t="str">
        <f t="shared" si="3"/>
        <v/>
      </c>
      <c r="D130" s="107"/>
      <c r="E130" s="108"/>
      <c r="F130" s="106" t="str">
        <f t="shared" si="4"/>
        <v/>
      </c>
      <c r="G130" s="107"/>
      <c r="H130" s="108"/>
      <c r="I130" s="106" t="str">
        <f t="shared" si="5"/>
        <v/>
      </c>
    </row>
    <row r="131" spans="1:9" s="106" customFormat="1" ht="17.399999999999999">
      <c r="A131" s="104"/>
      <c r="B131" s="105"/>
      <c r="C131" s="106" t="str">
        <f t="shared" si="3"/>
        <v/>
      </c>
      <c r="D131" s="107"/>
      <c r="E131" s="108"/>
      <c r="F131" s="106" t="str">
        <f t="shared" si="4"/>
        <v/>
      </c>
      <c r="G131" s="107"/>
      <c r="H131" s="108"/>
      <c r="I131" s="106" t="str">
        <f t="shared" si="5"/>
        <v/>
      </c>
    </row>
    <row r="132" spans="1:9" s="106" customFormat="1" ht="17.399999999999999">
      <c r="A132" s="104"/>
      <c r="B132" s="105"/>
      <c r="C132" s="106" t="str">
        <f t="shared" si="3"/>
        <v/>
      </c>
      <c r="D132" s="107"/>
      <c r="E132" s="108"/>
      <c r="F132" s="106" t="str">
        <f t="shared" si="4"/>
        <v/>
      </c>
      <c r="G132" s="107"/>
      <c r="H132" s="108"/>
      <c r="I132" s="106" t="str">
        <f t="shared" si="5"/>
        <v/>
      </c>
    </row>
    <row r="133" spans="1:9" s="106" customFormat="1" ht="17.399999999999999">
      <c r="A133" s="104"/>
      <c r="B133" s="105"/>
      <c r="C133" s="106" t="str">
        <f t="shared" ref="C133:C196" si="6">IF(B133&gt;0,TEXT(B133,"(aaa)"),"")</f>
        <v/>
      </c>
      <c r="D133" s="107"/>
      <c r="E133" s="108"/>
      <c r="F133" s="106" t="str">
        <f t="shared" ref="F133:F196" si="7">IF(E133&gt;0,TEXT(E133,"(aaa)"),"")</f>
        <v/>
      </c>
      <c r="G133" s="107"/>
      <c r="H133" s="108"/>
      <c r="I133" s="106" t="str">
        <f t="shared" ref="I133:I196" si="8">IF(H133&gt;0,TEXT(H133,"(aaa)"),"")</f>
        <v/>
      </c>
    </row>
    <row r="134" spans="1:9" s="106" customFormat="1" ht="17.399999999999999">
      <c r="A134" s="104"/>
      <c r="B134" s="105"/>
      <c r="C134" s="106" t="str">
        <f t="shared" si="6"/>
        <v/>
      </c>
      <c r="D134" s="107"/>
      <c r="E134" s="108"/>
      <c r="F134" s="106" t="str">
        <f t="shared" si="7"/>
        <v/>
      </c>
      <c r="G134" s="107"/>
      <c r="H134" s="108"/>
      <c r="I134" s="106" t="str">
        <f t="shared" si="8"/>
        <v/>
      </c>
    </row>
    <row r="135" spans="1:9" s="106" customFormat="1" ht="17.399999999999999">
      <c r="A135" s="104"/>
      <c r="B135" s="105"/>
      <c r="C135" s="106" t="str">
        <f t="shared" si="6"/>
        <v/>
      </c>
      <c r="D135" s="107"/>
      <c r="E135" s="108"/>
      <c r="F135" s="106" t="str">
        <f t="shared" si="7"/>
        <v/>
      </c>
      <c r="G135" s="107"/>
      <c r="H135" s="108"/>
      <c r="I135" s="106" t="str">
        <f t="shared" si="8"/>
        <v/>
      </c>
    </row>
    <row r="136" spans="1:9" s="106" customFormat="1" ht="17.399999999999999">
      <c r="A136" s="104"/>
      <c r="B136" s="105"/>
      <c r="C136" s="106" t="str">
        <f t="shared" si="6"/>
        <v/>
      </c>
      <c r="D136" s="107"/>
      <c r="E136" s="108"/>
      <c r="F136" s="106" t="str">
        <f t="shared" si="7"/>
        <v/>
      </c>
      <c r="G136" s="107"/>
      <c r="H136" s="108"/>
      <c r="I136" s="106" t="str">
        <f t="shared" si="8"/>
        <v/>
      </c>
    </row>
    <row r="137" spans="1:9" s="106" customFormat="1" ht="17.399999999999999">
      <c r="A137" s="104"/>
      <c r="B137" s="105"/>
      <c r="C137" s="106" t="str">
        <f t="shared" si="6"/>
        <v/>
      </c>
      <c r="D137" s="107"/>
      <c r="E137" s="108"/>
      <c r="F137" s="106" t="str">
        <f t="shared" si="7"/>
        <v/>
      </c>
      <c r="G137" s="107"/>
      <c r="H137" s="108"/>
      <c r="I137" s="106" t="str">
        <f t="shared" si="8"/>
        <v/>
      </c>
    </row>
    <row r="138" spans="1:9" s="106" customFormat="1" ht="17.399999999999999">
      <c r="A138" s="104"/>
      <c r="B138" s="105"/>
      <c r="C138" s="106" t="str">
        <f t="shared" si="6"/>
        <v/>
      </c>
      <c r="D138" s="107"/>
      <c r="E138" s="108"/>
      <c r="F138" s="106" t="str">
        <f t="shared" si="7"/>
        <v/>
      </c>
      <c r="G138" s="107"/>
      <c r="H138" s="108"/>
      <c r="I138" s="106" t="str">
        <f t="shared" si="8"/>
        <v/>
      </c>
    </row>
    <row r="139" spans="1:9" s="106" customFormat="1" ht="17.399999999999999">
      <c r="A139" s="104"/>
      <c r="B139" s="105"/>
      <c r="C139" s="106" t="str">
        <f t="shared" si="6"/>
        <v/>
      </c>
      <c r="D139" s="107"/>
      <c r="E139" s="108"/>
      <c r="F139" s="106" t="str">
        <f t="shared" si="7"/>
        <v/>
      </c>
      <c r="G139" s="107"/>
      <c r="H139" s="108"/>
      <c r="I139" s="106" t="str">
        <f t="shared" si="8"/>
        <v/>
      </c>
    </row>
    <row r="140" spans="1:9" s="106" customFormat="1" ht="17.399999999999999">
      <c r="A140" s="104"/>
      <c r="B140" s="105"/>
      <c r="C140" s="106" t="str">
        <f t="shared" si="6"/>
        <v/>
      </c>
      <c r="D140" s="107"/>
      <c r="E140" s="108"/>
      <c r="F140" s="106" t="str">
        <f t="shared" si="7"/>
        <v/>
      </c>
      <c r="G140" s="107"/>
      <c r="H140" s="108"/>
      <c r="I140" s="106" t="str">
        <f t="shared" si="8"/>
        <v/>
      </c>
    </row>
    <row r="141" spans="1:9" s="106" customFormat="1" ht="17.399999999999999">
      <c r="A141" s="104"/>
      <c r="B141" s="105"/>
      <c r="C141" s="106" t="str">
        <f t="shared" si="6"/>
        <v/>
      </c>
      <c r="D141" s="107"/>
      <c r="E141" s="108"/>
      <c r="F141" s="106" t="str">
        <f t="shared" si="7"/>
        <v/>
      </c>
      <c r="G141" s="107"/>
      <c r="H141" s="108"/>
      <c r="I141" s="106" t="str">
        <f t="shared" si="8"/>
        <v/>
      </c>
    </row>
    <row r="142" spans="1:9" s="106" customFormat="1" ht="17.399999999999999">
      <c r="A142" s="104"/>
      <c r="B142" s="105"/>
      <c r="C142" s="106" t="str">
        <f t="shared" si="6"/>
        <v/>
      </c>
      <c r="D142" s="107"/>
      <c r="E142" s="108"/>
      <c r="F142" s="106" t="str">
        <f t="shared" si="7"/>
        <v/>
      </c>
      <c r="G142" s="107"/>
      <c r="H142" s="108"/>
      <c r="I142" s="106" t="str">
        <f t="shared" si="8"/>
        <v/>
      </c>
    </row>
    <row r="143" spans="1:9" s="106" customFormat="1" ht="17.399999999999999">
      <c r="A143" s="104"/>
      <c r="B143" s="105"/>
      <c r="C143" s="106" t="str">
        <f t="shared" si="6"/>
        <v/>
      </c>
      <c r="D143" s="107"/>
      <c r="E143" s="108"/>
      <c r="F143" s="106" t="str">
        <f t="shared" si="7"/>
        <v/>
      </c>
      <c r="G143" s="107"/>
      <c r="H143" s="108"/>
      <c r="I143" s="106" t="str">
        <f t="shared" si="8"/>
        <v/>
      </c>
    </row>
    <row r="144" spans="1:9" s="106" customFormat="1" ht="17.399999999999999">
      <c r="A144" s="104"/>
      <c r="B144" s="105"/>
      <c r="C144" s="106" t="str">
        <f t="shared" si="6"/>
        <v/>
      </c>
      <c r="D144" s="107"/>
      <c r="E144" s="108"/>
      <c r="F144" s="106" t="str">
        <f t="shared" si="7"/>
        <v/>
      </c>
      <c r="G144" s="107"/>
      <c r="H144" s="108"/>
      <c r="I144" s="106" t="str">
        <f t="shared" si="8"/>
        <v/>
      </c>
    </row>
    <row r="145" spans="1:9" s="106" customFormat="1" ht="17.399999999999999">
      <c r="A145" s="104"/>
      <c r="B145" s="105"/>
      <c r="C145" s="106" t="str">
        <f t="shared" si="6"/>
        <v/>
      </c>
      <c r="D145" s="107"/>
      <c r="E145" s="108"/>
      <c r="F145" s="106" t="str">
        <f t="shared" si="7"/>
        <v/>
      </c>
      <c r="G145" s="107"/>
      <c r="H145" s="108"/>
      <c r="I145" s="106" t="str">
        <f t="shared" si="8"/>
        <v/>
      </c>
    </row>
    <row r="146" spans="1:9" s="106" customFormat="1" ht="17.399999999999999">
      <c r="A146" s="104"/>
      <c r="B146" s="105"/>
      <c r="C146" s="106" t="str">
        <f t="shared" si="6"/>
        <v/>
      </c>
      <c r="D146" s="107"/>
      <c r="E146" s="108"/>
      <c r="F146" s="106" t="str">
        <f t="shared" si="7"/>
        <v/>
      </c>
      <c r="G146" s="107"/>
      <c r="H146" s="108"/>
      <c r="I146" s="106" t="str">
        <f t="shared" si="8"/>
        <v/>
      </c>
    </row>
    <row r="147" spans="1:9" s="106" customFormat="1" ht="17.399999999999999">
      <c r="A147" s="104"/>
      <c r="B147" s="105"/>
      <c r="C147" s="106" t="str">
        <f t="shared" si="6"/>
        <v/>
      </c>
      <c r="D147" s="107"/>
      <c r="E147" s="108"/>
      <c r="F147" s="106" t="str">
        <f t="shared" si="7"/>
        <v/>
      </c>
      <c r="G147" s="107"/>
      <c r="H147" s="108"/>
      <c r="I147" s="106" t="str">
        <f t="shared" si="8"/>
        <v/>
      </c>
    </row>
    <row r="148" spans="1:9" s="106" customFormat="1" ht="17.399999999999999">
      <c r="A148" s="104"/>
      <c r="B148" s="105"/>
      <c r="C148" s="106" t="str">
        <f t="shared" si="6"/>
        <v/>
      </c>
      <c r="D148" s="107"/>
      <c r="E148" s="108"/>
      <c r="F148" s="106" t="str">
        <f t="shared" si="7"/>
        <v/>
      </c>
      <c r="G148" s="107"/>
      <c r="H148" s="108"/>
      <c r="I148" s="106" t="str">
        <f t="shared" si="8"/>
        <v/>
      </c>
    </row>
    <row r="149" spans="1:9" s="106" customFormat="1" ht="17.399999999999999">
      <c r="A149" s="104"/>
      <c r="B149" s="105"/>
      <c r="C149" s="106" t="str">
        <f t="shared" si="6"/>
        <v/>
      </c>
      <c r="D149" s="107"/>
      <c r="E149" s="108"/>
      <c r="F149" s="106" t="str">
        <f t="shared" si="7"/>
        <v/>
      </c>
      <c r="G149" s="107"/>
      <c r="H149" s="108"/>
      <c r="I149" s="106" t="str">
        <f t="shared" si="8"/>
        <v/>
      </c>
    </row>
    <row r="150" spans="1:9" s="106" customFormat="1" ht="17.399999999999999">
      <c r="A150" s="104"/>
      <c r="B150" s="105"/>
      <c r="C150" s="106" t="str">
        <f t="shared" si="6"/>
        <v/>
      </c>
      <c r="D150" s="107"/>
      <c r="E150" s="108"/>
      <c r="F150" s="106" t="str">
        <f t="shared" si="7"/>
        <v/>
      </c>
      <c r="G150" s="107"/>
      <c r="H150" s="108"/>
      <c r="I150" s="106" t="str">
        <f t="shared" si="8"/>
        <v/>
      </c>
    </row>
    <row r="151" spans="1:9" s="106" customFormat="1" ht="17.399999999999999">
      <c r="A151" s="104"/>
      <c r="B151" s="105"/>
      <c r="C151" s="106" t="str">
        <f t="shared" si="6"/>
        <v/>
      </c>
      <c r="D151" s="107"/>
      <c r="E151" s="108"/>
      <c r="F151" s="106" t="str">
        <f t="shared" si="7"/>
        <v/>
      </c>
      <c r="G151" s="107"/>
      <c r="H151" s="108"/>
      <c r="I151" s="106" t="str">
        <f t="shared" si="8"/>
        <v/>
      </c>
    </row>
    <row r="152" spans="1:9" s="106" customFormat="1" ht="17.399999999999999">
      <c r="A152" s="104"/>
      <c r="B152" s="105"/>
      <c r="C152" s="106" t="str">
        <f t="shared" si="6"/>
        <v/>
      </c>
      <c r="D152" s="107"/>
      <c r="E152" s="108"/>
      <c r="F152" s="106" t="str">
        <f t="shared" si="7"/>
        <v/>
      </c>
      <c r="G152" s="107"/>
      <c r="H152" s="108"/>
      <c r="I152" s="106" t="str">
        <f t="shared" si="8"/>
        <v/>
      </c>
    </row>
    <row r="153" spans="1:9" s="106" customFormat="1" ht="17.399999999999999">
      <c r="A153" s="104"/>
      <c r="B153" s="105"/>
      <c r="C153" s="106" t="str">
        <f t="shared" si="6"/>
        <v/>
      </c>
      <c r="D153" s="107"/>
      <c r="E153" s="108"/>
      <c r="F153" s="106" t="str">
        <f t="shared" si="7"/>
        <v/>
      </c>
      <c r="G153" s="107"/>
      <c r="H153" s="108"/>
      <c r="I153" s="106" t="str">
        <f t="shared" si="8"/>
        <v/>
      </c>
    </row>
    <row r="154" spans="1:9" s="106" customFormat="1" ht="17.399999999999999">
      <c r="A154" s="104"/>
      <c r="B154" s="105"/>
      <c r="C154" s="106" t="str">
        <f t="shared" si="6"/>
        <v/>
      </c>
      <c r="D154" s="107"/>
      <c r="E154" s="108"/>
      <c r="F154" s="106" t="str">
        <f t="shared" si="7"/>
        <v/>
      </c>
      <c r="G154" s="107"/>
      <c r="H154" s="108"/>
      <c r="I154" s="106" t="str">
        <f t="shared" si="8"/>
        <v/>
      </c>
    </row>
    <row r="155" spans="1:9" s="106" customFormat="1" ht="17.399999999999999">
      <c r="A155" s="104"/>
      <c r="B155" s="105"/>
      <c r="C155" s="106" t="str">
        <f t="shared" si="6"/>
        <v/>
      </c>
      <c r="D155" s="107"/>
      <c r="E155" s="108"/>
      <c r="F155" s="106" t="str">
        <f t="shared" si="7"/>
        <v/>
      </c>
      <c r="G155" s="107"/>
      <c r="H155" s="108"/>
      <c r="I155" s="106" t="str">
        <f t="shared" si="8"/>
        <v/>
      </c>
    </row>
    <row r="156" spans="1:9" s="106" customFormat="1" ht="17.399999999999999">
      <c r="A156" s="104"/>
      <c r="B156" s="105"/>
      <c r="C156" s="106" t="str">
        <f t="shared" si="6"/>
        <v/>
      </c>
      <c r="D156" s="107"/>
      <c r="E156" s="108"/>
      <c r="F156" s="106" t="str">
        <f t="shared" si="7"/>
        <v/>
      </c>
      <c r="G156" s="107"/>
      <c r="H156" s="108"/>
      <c r="I156" s="106" t="str">
        <f t="shared" si="8"/>
        <v/>
      </c>
    </row>
    <row r="157" spans="1:9" s="106" customFormat="1" ht="17.399999999999999">
      <c r="A157" s="104"/>
      <c r="B157" s="105"/>
      <c r="C157" s="106" t="str">
        <f t="shared" si="6"/>
        <v/>
      </c>
      <c r="D157" s="107"/>
      <c r="E157" s="108"/>
      <c r="F157" s="106" t="str">
        <f t="shared" si="7"/>
        <v/>
      </c>
      <c r="G157" s="107"/>
      <c r="H157" s="108"/>
      <c r="I157" s="106" t="str">
        <f t="shared" si="8"/>
        <v/>
      </c>
    </row>
    <row r="158" spans="1:9" s="106" customFormat="1" ht="17.399999999999999">
      <c r="A158" s="104"/>
      <c r="B158" s="105"/>
      <c r="C158" s="106" t="str">
        <f t="shared" si="6"/>
        <v/>
      </c>
      <c r="D158" s="107"/>
      <c r="E158" s="108"/>
      <c r="F158" s="106" t="str">
        <f t="shared" si="7"/>
        <v/>
      </c>
      <c r="G158" s="107"/>
      <c r="H158" s="108"/>
      <c r="I158" s="106" t="str">
        <f t="shared" si="8"/>
        <v/>
      </c>
    </row>
    <row r="159" spans="1:9" s="106" customFormat="1" ht="17.399999999999999">
      <c r="A159" s="104"/>
      <c r="B159" s="105"/>
      <c r="C159" s="106" t="str">
        <f t="shared" si="6"/>
        <v/>
      </c>
      <c r="D159" s="107"/>
      <c r="E159" s="108"/>
      <c r="F159" s="106" t="str">
        <f t="shared" si="7"/>
        <v/>
      </c>
      <c r="G159" s="107"/>
      <c r="H159" s="108"/>
      <c r="I159" s="106" t="str">
        <f t="shared" si="8"/>
        <v/>
      </c>
    </row>
    <row r="160" spans="1:9" s="106" customFormat="1" ht="17.399999999999999">
      <c r="A160" s="104"/>
      <c r="B160" s="105"/>
      <c r="C160" s="106" t="str">
        <f t="shared" si="6"/>
        <v/>
      </c>
      <c r="D160" s="107"/>
      <c r="E160" s="108"/>
      <c r="F160" s="106" t="str">
        <f t="shared" si="7"/>
        <v/>
      </c>
      <c r="G160" s="107"/>
      <c r="H160" s="108"/>
      <c r="I160" s="106" t="str">
        <f t="shared" si="8"/>
        <v/>
      </c>
    </row>
    <row r="161" spans="1:9" s="106" customFormat="1" ht="17.399999999999999">
      <c r="A161" s="104"/>
      <c r="B161" s="105"/>
      <c r="C161" s="106" t="str">
        <f t="shared" si="6"/>
        <v/>
      </c>
      <c r="D161" s="107"/>
      <c r="E161" s="108"/>
      <c r="F161" s="106" t="str">
        <f t="shared" si="7"/>
        <v/>
      </c>
      <c r="G161" s="107"/>
      <c r="H161" s="108"/>
      <c r="I161" s="106" t="str">
        <f t="shared" si="8"/>
        <v/>
      </c>
    </row>
    <row r="162" spans="1:9" s="106" customFormat="1" ht="17.399999999999999">
      <c r="A162" s="104"/>
      <c r="B162" s="105"/>
      <c r="C162" s="106" t="str">
        <f t="shared" si="6"/>
        <v/>
      </c>
      <c r="D162" s="107"/>
      <c r="E162" s="108"/>
      <c r="F162" s="106" t="str">
        <f t="shared" si="7"/>
        <v/>
      </c>
      <c r="G162" s="107"/>
      <c r="H162" s="108"/>
      <c r="I162" s="106" t="str">
        <f t="shared" si="8"/>
        <v/>
      </c>
    </row>
    <row r="163" spans="1:9" s="106" customFormat="1" ht="17.399999999999999">
      <c r="A163" s="104"/>
      <c r="B163" s="105"/>
      <c r="C163" s="106" t="str">
        <f t="shared" si="6"/>
        <v/>
      </c>
      <c r="D163" s="107"/>
      <c r="E163" s="108"/>
      <c r="F163" s="106" t="str">
        <f t="shared" si="7"/>
        <v/>
      </c>
      <c r="G163" s="107"/>
      <c r="H163" s="108"/>
      <c r="I163" s="106" t="str">
        <f t="shared" si="8"/>
        <v/>
      </c>
    </row>
    <row r="164" spans="1:9" s="106" customFormat="1" ht="17.399999999999999">
      <c r="A164" s="104"/>
      <c r="B164" s="105"/>
      <c r="C164" s="106" t="str">
        <f t="shared" si="6"/>
        <v/>
      </c>
      <c r="D164" s="107"/>
      <c r="E164" s="108"/>
      <c r="F164" s="106" t="str">
        <f t="shared" si="7"/>
        <v/>
      </c>
      <c r="G164" s="107"/>
      <c r="H164" s="108"/>
      <c r="I164" s="106" t="str">
        <f t="shared" si="8"/>
        <v/>
      </c>
    </row>
    <row r="165" spans="1:9" s="106" customFormat="1" ht="17.399999999999999">
      <c r="A165" s="104"/>
      <c r="B165" s="105"/>
      <c r="C165" s="106" t="str">
        <f t="shared" si="6"/>
        <v/>
      </c>
      <c r="D165" s="107"/>
      <c r="E165" s="108"/>
      <c r="F165" s="106" t="str">
        <f t="shared" si="7"/>
        <v/>
      </c>
      <c r="G165" s="107"/>
      <c r="H165" s="108"/>
      <c r="I165" s="106" t="str">
        <f t="shared" si="8"/>
        <v/>
      </c>
    </row>
    <row r="166" spans="1:9" s="106" customFormat="1" ht="17.399999999999999">
      <c r="A166" s="104"/>
      <c r="B166" s="105"/>
      <c r="C166" s="106" t="str">
        <f t="shared" si="6"/>
        <v/>
      </c>
      <c r="D166" s="107"/>
      <c r="E166" s="108"/>
      <c r="F166" s="106" t="str">
        <f t="shared" si="7"/>
        <v/>
      </c>
      <c r="G166" s="107"/>
      <c r="H166" s="108"/>
      <c r="I166" s="106" t="str">
        <f t="shared" si="8"/>
        <v/>
      </c>
    </row>
    <row r="167" spans="1:9" s="106" customFormat="1" ht="17.399999999999999">
      <c r="A167" s="104"/>
      <c r="B167" s="105"/>
      <c r="C167" s="106" t="str">
        <f t="shared" si="6"/>
        <v/>
      </c>
      <c r="D167" s="107"/>
      <c r="E167" s="108"/>
      <c r="F167" s="106" t="str">
        <f t="shared" si="7"/>
        <v/>
      </c>
      <c r="G167" s="107"/>
      <c r="H167" s="108"/>
      <c r="I167" s="106" t="str">
        <f t="shared" si="8"/>
        <v/>
      </c>
    </row>
    <row r="168" spans="1:9" s="106" customFormat="1" ht="17.399999999999999">
      <c r="A168" s="104"/>
      <c r="B168" s="105"/>
      <c r="C168" s="106" t="str">
        <f t="shared" si="6"/>
        <v/>
      </c>
      <c r="D168" s="107"/>
      <c r="E168" s="108"/>
      <c r="F168" s="106" t="str">
        <f t="shared" si="7"/>
        <v/>
      </c>
      <c r="G168" s="107"/>
      <c r="H168" s="108"/>
      <c r="I168" s="106" t="str">
        <f t="shared" si="8"/>
        <v/>
      </c>
    </row>
    <row r="169" spans="1:9" s="106" customFormat="1" ht="17.399999999999999">
      <c r="A169" s="104"/>
      <c r="B169" s="105"/>
      <c r="C169" s="106" t="str">
        <f t="shared" si="6"/>
        <v/>
      </c>
      <c r="D169" s="107"/>
      <c r="E169" s="108"/>
      <c r="F169" s="106" t="str">
        <f t="shared" si="7"/>
        <v/>
      </c>
      <c r="G169" s="107"/>
      <c r="H169" s="108"/>
      <c r="I169" s="106" t="str">
        <f t="shared" si="8"/>
        <v/>
      </c>
    </row>
    <row r="170" spans="1:9" s="106" customFormat="1" ht="17.399999999999999">
      <c r="A170" s="104"/>
      <c r="B170" s="105"/>
      <c r="C170" s="106" t="str">
        <f t="shared" si="6"/>
        <v/>
      </c>
      <c r="D170" s="107"/>
      <c r="E170" s="108"/>
      <c r="F170" s="106" t="str">
        <f t="shared" si="7"/>
        <v/>
      </c>
      <c r="G170" s="107"/>
      <c r="H170" s="108"/>
      <c r="I170" s="106" t="str">
        <f t="shared" si="8"/>
        <v/>
      </c>
    </row>
    <row r="171" spans="1:9" s="106" customFormat="1" ht="17.399999999999999">
      <c r="A171" s="104"/>
      <c r="B171" s="105"/>
      <c r="C171" s="106" t="str">
        <f t="shared" si="6"/>
        <v/>
      </c>
      <c r="D171" s="107"/>
      <c r="E171" s="108"/>
      <c r="F171" s="106" t="str">
        <f t="shared" si="7"/>
        <v/>
      </c>
      <c r="G171" s="107"/>
      <c r="H171" s="108"/>
      <c r="I171" s="106" t="str">
        <f t="shared" si="8"/>
        <v/>
      </c>
    </row>
    <row r="172" spans="1:9" s="106" customFormat="1" ht="17.399999999999999">
      <c r="A172" s="104"/>
      <c r="B172" s="105"/>
      <c r="C172" s="106" t="str">
        <f t="shared" si="6"/>
        <v/>
      </c>
      <c r="D172" s="107"/>
      <c r="E172" s="108"/>
      <c r="F172" s="106" t="str">
        <f t="shared" si="7"/>
        <v/>
      </c>
      <c r="G172" s="107"/>
      <c r="H172" s="108"/>
      <c r="I172" s="106" t="str">
        <f t="shared" si="8"/>
        <v/>
      </c>
    </row>
    <row r="173" spans="1:9" s="106" customFormat="1" ht="17.399999999999999">
      <c r="A173" s="104"/>
      <c r="B173" s="105"/>
      <c r="C173" s="106" t="str">
        <f t="shared" si="6"/>
        <v/>
      </c>
      <c r="D173" s="107"/>
      <c r="E173" s="108"/>
      <c r="F173" s="106" t="str">
        <f t="shared" si="7"/>
        <v/>
      </c>
      <c r="G173" s="107"/>
      <c r="H173" s="108"/>
      <c r="I173" s="106" t="str">
        <f t="shared" si="8"/>
        <v/>
      </c>
    </row>
    <row r="174" spans="1:9" s="106" customFormat="1" ht="17.399999999999999">
      <c r="A174" s="104"/>
      <c r="B174" s="105"/>
      <c r="C174" s="106" t="str">
        <f t="shared" si="6"/>
        <v/>
      </c>
      <c r="D174" s="107"/>
      <c r="E174" s="108"/>
      <c r="F174" s="106" t="str">
        <f t="shared" si="7"/>
        <v/>
      </c>
      <c r="G174" s="107"/>
      <c r="H174" s="108"/>
      <c r="I174" s="106" t="str">
        <f t="shared" si="8"/>
        <v/>
      </c>
    </row>
    <row r="175" spans="1:9" s="106" customFormat="1" ht="17.399999999999999">
      <c r="A175" s="104"/>
      <c r="B175" s="105"/>
      <c r="C175" s="106" t="str">
        <f t="shared" si="6"/>
        <v/>
      </c>
      <c r="D175" s="107"/>
      <c r="E175" s="108"/>
      <c r="F175" s="106" t="str">
        <f t="shared" si="7"/>
        <v/>
      </c>
      <c r="G175" s="107"/>
      <c r="H175" s="108"/>
      <c r="I175" s="106" t="str">
        <f t="shared" si="8"/>
        <v/>
      </c>
    </row>
    <row r="176" spans="1:9" s="106" customFormat="1" ht="17.399999999999999">
      <c r="A176" s="104"/>
      <c r="B176" s="105"/>
      <c r="C176" s="106" t="str">
        <f t="shared" si="6"/>
        <v/>
      </c>
      <c r="D176" s="107"/>
      <c r="E176" s="108"/>
      <c r="F176" s="106" t="str">
        <f t="shared" si="7"/>
        <v/>
      </c>
      <c r="G176" s="107"/>
      <c r="H176" s="108"/>
      <c r="I176" s="106" t="str">
        <f t="shared" si="8"/>
        <v/>
      </c>
    </row>
    <row r="177" spans="1:9" s="106" customFormat="1" ht="17.399999999999999">
      <c r="A177" s="104"/>
      <c r="B177" s="105"/>
      <c r="C177" s="106" t="str">
        <f t="shared" si="6"/>
        <v/>
      </c>
      <c r="D177" s="107"/>
      <c r="E177" s="108"/>
      <c r="F177" s="106" t="str">
        <f t="shared" si="7"/>
        <v/>
      </c>
      <c r="G177" s="107"/>
      <c r="H177" s="108"/>
      <c r="I177" s="106" t="str">
        <f t="shared" si="8"/>
        <v/>
      </c>
    </row>
    <row r="178" spans="1:9" s="106" customFormat="1" ht="17.399999999999999">
      <c r="A178" s="104"/>
      <c r="B178" s="105"/>
      <c r="C178" s="106" t="str">
        <f t="shared" si="6"/>
        <v/>
      </c>
      <c r="D178" s="107"/>
      <c r="E178" s="108"/>
      <c r="F178" s="106" t="str">
        <f t="shared" si="7"/>
        <v/>
      </c>
      <c r="G178" s="107"/>
      <c r="H178" s="108"/>
      <c r="I178" s="106" t="str">
        <f t="shared" si="8"/>
        <v/>
      </c>
    </row>
    <row r="179" spans="1:9" s="106" customFormat="1" ht="17.399999999999999">
      <c r="A179" s="104"/>
      <c r="B179" s="105"/>
      <c r="C179" s="106" t="str">
        <f t="shared" si="6"/>
        <v/>
      </c>
      <c r="D179" s="107"/>
      <c r="E179" s="108"/>
      <c r="F179" s="106" t="str">
        <f t="shared" si="7"/>
        <v/>
      </c>
      <c r="G179" s="107"/>
      <c r="H179" s="108"/>
      <c r="I179" s="106" t="str">
        <f t="shared" si="8"/>
        <v/>
      </c>
    </row>
    <row r="180" spans="1:9" s="106" customFormat="1" ht="17.399999999999999">
      <c r="A180" s="104"/>
      <c r="B180" s="105"/>
      <c r="C180" s="106" t="str">
        <f t="shared" si="6"/>
        <v/>
      </c>
      <c r="D180" s="107"/>
      <c r="E180" s="108"/>
      <c r="F180" s="106" t="str">
        <f t="shared" si="7"/>
        <v/>
      </c>
      <c r="G180" s="107"/>
      <c r="H180" s="108"/>
      <c r="I180" s="106" t="str">
        <f t="shared" si="8"/>
        <v/>
      </c>
    </row>
    <row r="181" spans="1:9" s="106" customFormat="1" ht="17.399999999999999">
      <c r="A181" s="104"/>
      <c r="B181" s="105"/>
      <c r="C181" s="106" t="str">
        <f t="shared" si="6"/>
        <v/>
      </c>
      <c r="D181" s="107"/>
      <c r="E181" s="108"/>
      <c r="F181" s="106" t="str">
        <f t="shared" si="7"/>
        <v/>
      </c>
      <c r="G181" s="107"/>
      <c r="H181" s="108"/>
      <c r="I181" s="106" t="str">
        <f t="shared" si="8"/>
        <v/>
      </c>
    </row>
    <row r="182" spans="1:9" s="106" customFormat="1" ht="17.399999999999999">
      <c r="A182" s="104"/>
      <c r="B182" s="105"/>
      <c r="C182" s="106" t="str">
        <f t="shared" si="6"/>
        <v/>
      </c>
      <c r="D182" s="107"/>
      <c r="E182" s="108"/>
      <c r="F182" s="106" t="str">
        <f t="shared" si="7"/>
        <v/>
      </c>
      <c r="G182" s="107"/>
      <c r="H182" s="108"/>
      <c r="I182" s="106" t="str">
        <f t="shared" si="8"/>
        <v/>
      </c>
    </row>
    <row r="183" spans="1:9" s="106" customFormat="1" ht="17.399999999999999">
      <c r="A183" s="104"/>
      <c r="B183" s="105"/>
      <c r="C183" s="106" t="str">
        <f t="shared" si="6"/>
        <v/>
      </c>
      <c r="D183" s="107"/>
      <c r="E183" s="108"/>
      <c r="F183" s="106" t="str">
        <f t="shared" si="7"/>
        <v/>
      </c>
      <c r="G183" s="107"/>
      <c r="H183" s="108"/>
      <c r="I183" s="106" t="str">
        <f t="shared" si="8"/>
        <v/>
      </c>
    </row>
    <row r="184" spans="1:9" s="106" customFormat="1" ht="17.399999999999999">
      <c r="A184" s="104"/>
      <c r="B184" s="105"/>
      <c r="C184" s="106" t="str">
        <f t="shared" si="6"/>
        <v/>
      </c>
      <c r="D184" s="107"/>
      <c r="E184" s="108"/>
      <c r="F184" s="106" t="str">
        <f t="shared" si="7"/>
        <v/>
      </c>
      <c r="G184" s="107"/>
      <c r="H184" s="108"/>
      <c r="I184" s="106" t="str">
        <f t="shared" si="8"/>
        <v/>
      </c>
    </row>
    <row r="185" spans="1:9" s="106" customFormat="1" ht="17.399999999999999">
      <c r="A185" s="104"/>
      <c r="B185" s="105"/>
      <c r="C185" s="106" t="str">
        <f t="shared" si="6"/>
        <v/>
      </c>
      <c r="D185" s="107"/>
      <c r="E185" s="108"/>
      <c r="F185" s="106" t="str">
        <f t="shared" si="7"/>
        <v/>
      </c>
      <c r="G185" s="107"/>
      <c r="H185" s="108"/>
      <c r="I185" s="106" t="str">
        <f t="shared" si="8"/>
        <v/>
      </c>
    </row>
    <row r="186" spans="1:9" s="106" customFormat="1" ht="17.399999999999999">
      <c r="A186" s="104"/>
      <c r="B186" s="105"/>
      <c r="C186" s="106" t="str">
        <f t="shared" si="6"/>
        <v/>
      </c>
      <c r="D186" s="107"/>
      <c r="E186" s="108"/>
      <c r="F186" s="106" t="str">
        <f t="shared" si="7"/>
        <v/>
      </c>
      <c r="G186" s="107"/>
      <c r="H186" s="108"/>
      <c r="I186" s="106" t="str">
        <f t="shared" si="8"/>
        <v/>
      </c>
    </row>
    <row r="187" spans="1:9" s="106" customFormat="1" ht="17.399999999999999">
      <c r="A187" s="104"/>
      <c r="B187" s="105"/>
      <c r="C187" s="106" t="str">
        <f t="shared" si="6"/>
        <v/>
      </c>
      <c r="D187" s="107"/>
      <c r="E187" s="108"/>
      <c r="F187" s="106" t="str">
        <f t="shared" si="7"/>
        <v/>
      </c>
      <c r="G187" s="107"/>
      <c r="H187" s="108"/>
      <c r="I187" s="106" t="str">
        <f t="shared" si="8"/>
        <v/>
      </c>
    </row>
    <row r="188" spans="1:9" s="106" customFormat="1" ht="17.399999999999999">
      <c r="A188" s="104"/>
      <c r="B188" s="105"/>
      <c r="C188" s="106" t="str">
        <f t="shared" si="6"/>
        <v/>
      </c>
      <c r="D188" s="107"/>
      <c r="E188" s="108"/>
      <c r="F188" s="106" t="str">
        <f t="shared" si="7"/>
        <v/>
      </c>
      <c r="G188" s="107"/>
      <c r="H188" s="108"/>
      <c r="I188" s="106" t="str">
        <f t="shared" si="8"/>
        <v/>
      </c>
    </row>
    <row r="189" spans="1:9" s="106" customFormat="1" ht="17.399999999999999">
      <c r="A189" s="104"/>
      <c r="B189" s="105"/>
      <c r="C189" s="106" t="str">
        <f t="shared" si="6"/>
        <v/>
      </c>
      <c r="D189" s="107"/>
      <c r="E189" s="108"/>
      <c r="F189" s="106" t="str">
        <f t="shared" si="7"/>
        <v/>
      </c>
      <c r="G189" s="107"/>
      <c r="H189" s="108"/>
      <c r="I189" s="106" t="str">
        <f t="shared" si="8"/>
        <v/>
      </c>
    </row>
    <row r="190" spans="1:9" s="106" customFormat="1" ht="17.399999999999999">
      <c r="A190" s="104"/>
      <c r="B190" s="105"/>
      <c r="C190" s="106" t="str">
        <f t="shared" si="6"/>
        <v/>
      </c>
      <c r="D190" s="107"/>
      <c r="E190" s="108"/>
      <c r="F190" s="106" t="str">
        <f t="shared" si="7"/>
        <v/>
      </c>
      <c r="G190" s="107"/>
      <c r="H190" s="108"/>
      <c r="I190" s="106" t="str">
        <f t="shared" si="8"/>
        <v/>
      </c>
    </row>
    <row r="191" spans="1:9" s="106" customFormat="1" ht="17.399999999999999">
      <c r="A191" s="104"/>
      <c r="B191" s="105"/>
      <c r="C191" s="106" t="str">
        <f t="shared" si="6"/>
        <v/>
      </c>
      <c r="D191" s="107"/>
      <c r="E191" s="108"/>
      <c r="F191" s="106" t="str">
        <f t="shared" si="7"/>
        <v/>
      </c>
      <c r="G191" s="107"/>
      <c r="H191" s="108"/>
      <c r="I191" s="106" t="str">
        <f t="shared" si="8"/>
        <v/>
      </c>
    </row>
    <row r="192" spans="1:9" s="106" customFormat="1" ht="17.399999999999999">
      <c r="A192" s="104"/>
      <c r="B192" s="105"/>
      <c r="C192" s="106" t="str">
        <f t="shared" si="6"/>
        <v/>
      </c>
      <c r="D192" s="107"/>
      <c r="E192" s="108"/>
      <c r="F192" s="106" t="str">
        <f t="shared" si="7"/>
        <v/>
      </c>
      <c r="G192" s="107"/>
      <c r="H192" s="108"/>
      <c r="I192" s="106" t="str">
        <f t="shared" si="8"/>
        <v/>
      </c>
    </row>
    <row r="193" spans="1:9" s="106" customFormat="1" ht="17.399999999999999">
      <c r="A193" s="104"/>
      <c r="B193" s="105"/>
      <c r="C193" s="106" t="str">
        <f t="shared" si="6"/>
        <v/>
      </c>
      <c r="D193" s="107"/>
      <c r="E193" s="108"/>
      <c r="F193" s="106" t="str">
        <f t="shared" si="7"/>
        <v/>
      </c>
      <c r="G193" s="107"/>
      <c r="H193" s="108"/>
      <c r="I193" s="106" t="str">
        <f t="shared" si="8"/>
        <v/>
      </c>
    </row>
    <row r="194" spans="1:9" s="106" customFormat="1" ht="17.399999999999999">
      <c r="A194" s="104"/>
      <c r="B194" s="105"/>
      <c r="C194" s="106" t="str">
        <f t="shared" si="6"/>
        <v/>
      </c>
      <c r="D194" s="107"/>
      <c r="E194" s="108"/>
      <c r="F194" s="106" t="str">
        <f t="shared" si="7"/>
        <v/>
      </c>
      <c r="G194" s="107"/>
      <c r="H194" s="108"/>
      <c r="I194" s="106" t="str">
        <f t="shared" si="8"/>
        <v/>
      </c>
    </row>
    <row r="195" spans="1:9" s="106" customFormat="1" ht="17.399999999999999">
      <c r="A195" s="104"/>
      <c r="B195" s="105"/>
      <c r="C195" s="106" t="str">
        <f t="shared" si="6"/>
        <v/>
      </c>
      <c r="D195" s="107"/>
      <c r="E195" s="108"/>
      <c r="F195" s="106" t="str">
        <f t="shared" si="7"/>
        <v/>
      </c>
      <c r="G195" s="107"/>
      <c r="H195" s="108"/>
      <c r="I195" s="106" t="str">
        <f t="shared" si="8"/>
        <v/>
      </c>
    </row>
    <row r="196" spans="1:9" s="106" customFormat="1" ht="17.399999999999999">
      <c r="A196" s="104"/>
      <c r="B196" s="105"/>
      <c r="C196" s="106" t="str">
        <f t="shared" si="6"/>
        <v/>
      </c>
      <c r="D196" s="107"/>
      <c r="E196" s="108"/>
      <c r="F196" s="106" t="str">
        <f t="shared" si="7"/>
        <v/>
      </c>
      <c r="G196" s="107"/>
      <c r="H196" s="108"/>
      <c r="I196" s="106" t="str">
        <f t="shared" si="8"/>
        <v/>
      </c>
    </row>
    <row r="197" spans="1:9" s="106" customFormat="1" ht="17.399999999999999">
      <c r="A197" s="104"/>
      <c r="B197" s="105"/>
      <c r="C197" s="106" t="str">
        <f t="shared" ref="C197:C260" si="9">IF(B197&gt;0,TEXT(B197,"(aaa)"),"")</f>
        <v/>
      </c>
      <c r="D197" s="107"/>
      <c r="E197" s="108"/>
      <c r="F197" s="106" t="str">
        <f t="shared" ref="F197:F260" si="10">IF(E197&gt;0,TEXT(E197,"(aaa)"),"")</f>
        <v/>
      </c>
      <c r="G197" s="107"/>
      <c r="H197" s="108"/>
      <c r="I197" s="106" t="str">
        <f t="shared" ref="I197:I260" si="11">IF(H197&gt;0,TEXT(H197,"(aaa)"),"")</f>
        <v/>
      </c>
    </row>
    <row r="198" spans="1:9" s="106" customFormat="1" ht="17.399999999999999">
      <c r="A198" s="104"/>
      <c r="B198" s="105"/>
      <c r="C198" s="106" t="str">
        <f t="shared" si="9"/>
        <v/>
      </c>
      <c r="D198" s="107"/>
      <c r="E198" s="108"/>
      <c r="F198" s="106" t="str">
        <f t="shared" si="10"/>
        <v/>
      </c>
      <c r="G198" s="107"/>
      <c r="H198" s="108"/>
      <c r="I198" s="106" t="str">
        <f t="shared" si="11"/>
        <v/>
      </c>
    </row>
    <row r="199" spans="1:9" s="106" customFormat="1" ht="17.399999999999999">
      <c r="A199" s="104"/>
      <c r="B199" s="105"/>
      <c r="C199" s="106" t="str">
        <f t="shared" si="9"/>
        <v/>
      </c>
      <c r="D199" s="107"/>
      <c r="E199" s="108"/>
      <c r="F199" s="106" t="str">
        <f t="shared" si="10"/>
        <v/>
      </c>
      <c r="G199" s="107"/>
      <c r="H199" s="108"/>
      <c r="I199" s="106" t="str">
        <f t="shared" si="11"/>
        <v/>
      </c>
    </row>
    <row r="200" spans="1:9" s="106" customFormat="1" ht="17.399999999999999">
      <c r="A200" s="104"/>
      <c r="B200" s="105"/>
      <c r="C200" s="106" t="str">
        <f t="shared" si="9"/>
        <v/>
      </c>
      <c r="D200" s="107"/>
      <c r="E200" s="108"/>
      <c r="F200" s="106" t="str">
        <f t="shared" si="10"/>
        <v/>
      </c>
      <c r="G200" s="107"/>
      <c r="H200" s="108"/>
      <c r="I200" s="106" t="str">
        <f t="shared" si="11"/>
        <v/>
      </c>
    </row>
    <row r="201" spans="1:9" s="106" customFormat="1" ht="17.399999999999999">
      <c r="A201" s="104"/>
      <c r="B201" s="105"/>
      <c r="C201" s="106" t="str">
        <f t="shared" si="9"/>
        <v/>
      </c>
      <c r="D201" s="107"/>
      <c r="E201" s="108"/>
      <c r="F201" s="106" t="str">
        <f t="shared" si="10"/>
        <v/>
      </c>
      <c r="G201" s="107"/>
      <c r="H201" s="108"/>
      <c r="I201" s="106" t="str">
        <f t="shared" si="11"/>
        <v/>
      </c>
    </row>
    <row r="202" spans="1:9" s="106" customFormat="1" ht="17.399999999999999">
      <c r="A202" s="104"/>
      <c r="B202" s="105"/>
      <c r="C202" s="106" t="str">
        <f t="shared" si="9"/>
        <v/>
      </c>
      <c r="D202" s="107"/>
      <c r="E202" s="108"/>
      <c r="F202" s="106" t="str">
        <f t="shared" si="10"/>
        <v/>
      </c>
      <c r="G202" s="107"/>
      <c r="H202" s="108"/>
      <c r="I202" s="106" t="str">
        <f t="shared" si="11"/>
        <v/>
      </c>
    </row>
    <row r="203" spans="1:9" s="106" customFormat="1" ht="17.399999999999999">
      <c r="A203" s="104"/>
      <c r="B203" s="105"/>
      <c r="C203" s="106" t="str">
        <f t="shared" si="9"/>
        <v/>
      </c>
      <c r="D203" s="107"/>
      <c r="E203" s="108"/>
      <c r="F203" s="106" t="str">
        <f t="shared" si="10"/>
        <v/>
      </c>
      <c r="G203" s="107"/>
      <c r="H203" s="108"/>
      <c r="I203" s="106" t="str">
        <f t="shared" si="11"/>
        <v/>
      </c>
    </row>
    <row r="204" spans="1:9" s="106" customFormat="1" ht="17.399999999999999">
      <c r="A204" s="104"/>
      <c r="B204" s="105"/>
      <c r="C204" s="106" t="str">
        <f t="shared" si="9"/>
        <v/>
      </c>
      <c r="D204" s="107"/>
      <c r="E204" s="108"/>
      <c r="F204" s="106" t="str">
        <f t="shared" si="10"/>
        <v/>
      </c>
      <c r="G204" s="107"/>
      <c r="H204" s="108"/>
      <c r="I204" s="106" t="str">
        <f t="shared" si="11"/>
        <v/>
      </c>
    </row>
    <row r="205" spans="1:9" s="106" customFormat="1" ht="17.399999999999999">
      <c r="A205" s="104"/>
      <c r="B205" s="105"/>
      <c r="C205" s="106" t="str">
        <f t="shared" si="9"/>
        <v/>
      </c>
      <c r="D205" s="107"/>
      <c r="E205" s="108"/>
      <c r="F205" s="106" t="str">
        <f t="shared" si="10"/>
        <v/>
      </c>
      <c r="G205" s="107"/>
      <c r="H205" s="108"/>
      <c r="I205" s="106" t="str">
        <f t="shared" si="11"/>
        <v/>
      </c>
    </row>
    <row r="206" spans="1:9" s="106" customFormat="1" ht="17.399999999999999">
      <c r="A206" s="104"/>
      <c r="B206" s="105"/>
      <c r="C206" s="106" t="str">
        <f t="shared" si="9"/>
        <v/>
      </c>
      <c r="D206" s="107"/>
      <c r="E206" s="108"/>
      <c r="F206" s="106" t="str">
        <f t="shared" si="10"/>
        <v/>
      </c>
      <c r="G206" s="107"/>
      <c r="H206" s="108"/>
      <c r="I206" s="106" t="str">
        <f t="shared" si="11"/>
        <v/>
      </c>
    </row>
    <row r="207" spans="1:9" s="106" customFormat="1" ht="17.399999999999999">
      <c r="A207" s="104"/>
      <c r="B207" s="105"/>
      <c r="C207" s="106" t="str">
        <f t="shared" si="9"/>
        <v/>
      </c>
      <c r="D207" s="107"/>
      <c r="E207" s="108"/>
      <c r="F207" s="106" t="str">
        <f t="shared" si="10"/>
        <v/>
      </c>
      <c r="G207" s="107"/>
      <c r="H207" s="108"/>
      <c r="I207" s="106" t="str">
        <f t="shared" si="11"/>
        <v/>
      </c>
    </row>
    <row r="208" spans="1:9" s="106" customFormat="1" ht="17.399999999999999">
      <c r="A208" s="104"/>
      <c r="B208" s="105"/>
      <c r="C208" s="106" t="str">
        <f t="shared" si="9"/>
        <v/>
      </c>
      <c r="D208" s="107"/>
      <c r="E208" s="108"/>
      <c r="F208" s="106" t="str">
        <f t="shared" si="10"/>
        <v/>
      </c>
      <c r="G208" s="107"/>
      <c r="H208" s="108"/>
      <c r="I208" s="106" t="str">
        <f t="shared" si="11"/>
        <v/>
      </c>
    </row>
    <row r="209" spans="1:9" s="106" customFormat="1" ht="17.399999999999999">
      <c r="A209" s="104"/>
      <c r="B209" s="105"/>
      <c r="C209" s="106" t="str">
        <f t="shared" si="9"/>
        <v/>
      </c>
      <c r="D209" s="107"/>
      <c r="E209" s="108"/>
      <c r="F209" s="106" t="str">
        <f t="shared" si="10"/>
        <v/>
      </c>
      <c r="G209" s="107"/>
      <c r="H209" s="108"/>
      <c r="I209" s="106" t="str">
        <f t="shared" si="11"/>
        <v/>
      </c>
    </row>
    <row r="210" spans="1:9" s="106" customFormat="1" ht="17.399999999999999">
      <c r="A210" s="104"/>
      <c r="B210" s="105"/>
      <c r="C210" s="106" t="str">
        <f t="shared" si="9"/>
        <v/>
      </c>
      <c r="D210" s="107"/>
      <c r="E210" s="108"/>
      <c r="F210" s="106" t="str">
        <f t="shared" si="10"/>
        <v/>
      </c>
      <c r="G210" s="107"/>
      <c r="H210" s="108"/>
      <c r="I210" s="106" t="str">
        <f t="shared" si="11"/>
        <v/>
      </c>
    </row>
    <row r="211" spans="1:9" s="106" customFormat="1" ht="17.399999999999999">
      <c r="A211" s="104"/>
      <c r="B211" s="105"/>
      <c r="C211" s="106" t="str">
        <f t="shared" si="9"/>
        <v/>
      </c>
      <c r="D211" s="107"/>
      <c r="E211" s="108"/>
      <c r="F211" s="106" t="str">
        <f t="shared" si="10"/>
        <v/>
      </c>
      <c r="G211" s="107"/>
      <c r="H211" s="108"/>
      <c r="I211" s="106" t="str">
        <f t="shared" si="11"/>
        <v/>
      </c>
    </row>
    <row r="212" spans="1:9" s="106" customFormat="1" ht="17.399999999999999">
      <c r="A212" s="104"/>
      <c r="B212" s="105"/>
      <c r="C212" s="106" t="str">
        <f t="shared" si="9"/>
        <v/>
      </c>
      <c r="D212" s="107"/>
      <c r="E212" s="108"/>
      <c r="F212" s="106" t="str">
        <f t="shared" si="10"/>
        <v/>
      </c>
      <c r="G212" s="107"/>
      <c r="H212" s="108"/>
      <c r="I212" s="106" t="str">
        <f t="shared" si="11"/>
        <v/>
      </c>
    </row>
    <row r="213" spans="1:9" s="106" customFormat="1" ht="17.399999999999999">
      <c r="A213" s="104"/>
      <c r="B213" s="105"/>
      <c r="C213" s="106" t="str">
        <f t="shared" si="9"/>
        <v/>
      </c>
      <c r="D213" s="107"/>
      <c r="E213" s="108"/>
      <c r="F213" s="106" t="str">
        <f t="shared" si="10"/>
        <v/>
      </c>
      <c r="G213" s="107"/>
      <c r="H213" s="108"/>
      <c r="I213" s="106" t="str">
        <f t="shared" si="11"/>
        <v/>
      </c>
    </row>
    <row r="214" spans="1:9" s="106" customFormat="1" ht="17.399999999999999">
      <c r="A214" s="104"/>
      <c r="B214" s="105"/>
      <c r="C214" s="106" t="str">
        <f t="shared" si="9"/>
        <v/>
      </c>
      <c r="D214" s="107"/>
      <c r="E214" s="108"/>
      <c r="F214" s="106" t="str">
        <f t="shared" si="10"/>
        <v/>
      </c>
      <c r="G214" s="107"/>
      <c r="H214" s="108"/>
      <c r="I214" s="106" t="str">
        <f t="shared" si="11"/>
        <v/>
      </c>
    </row>
    <row r="215" spans="1:9" s="106" customFormat="1" ht="17.399999999999999">
      <c r="A215" s="104"/>
      <c r="B215" s="105"/>
      <c r="C215" s="106" t="str">
        <f t="shared" si="9"/>
        <v/>
      </c>
      <c r="D215" s="107"/>
      <c r="E215" s="108"/>
      <c r="F215" s="106" t="str">
        <f t="shared" si="10"/>
        <v/>
      </c>
      <c r="G215" s="107"/>
      <c r="H215" s="108"/>
      <c r="I215" s="106" t="str">
        <f t="shared" si="11"/>
        <v/>
      </c>
    </row>
    <row r="216" spans="1:9" s="106" customFormat="1" ht="17.399999999999999">
      <c r="A216" s="104"/>
      <c r="B216" s="105"/>
      <c r="C216" s="106" t="str">
        <f t="shared" si="9"/>
        <v/>
      </c>
      <c r="D216" s="107"/>
      <c r="E216" s="108"/>
      <c r="F216" s="106" t="str">
        <f t="shared" si="10"/>
        <v/>
      </c>
      <c r="G216" s="107"/>
      <c r="H216" s="108"/>
      <c r="I216" s="106" t="str">
        <f t="shared" si="11"/>
        <v/>
      </c>
    </row>
    <row r="217" spans="1:9" s="106" customFormat="1" ht="17.399999999999999">
      <c r="A217" s="104"/>
      <c r="B217" s="105"/>
      <c r="C217" s="106" t="str">
        <f t="shared" si="9"/>
        <v/>
      </c>
      <c r="D217" s="107"/>
      <c r="E217" s="108"/>
      <c r="F217" s="106" t="str">
        <f t="shared" si="10"/>
        <v/>
      </c>
      <c r="G217" s="107"/>
      <c r="H217" s="108"/>
      <c r="I217" s="106" t="str">
        <f t="shared" si="11"/>
        <v/>
      </c>
    </row>
    <row r="218" spans="1:9" s="106" customFormat="1" ht="17.399999999999999">
      <c r="A218" s="104"/>
      <c r="B218" s="105"/>
      <c r="C218" s="106" t="str">
        <f t="shared" si="9"/>
        <v/>
      </c>
      <c r="D218" s="107"/>
      <c r="E218" s="108"/>
      <c r="F218" s="106" t="str">
        <f t="shared" si="10"/>
        <v/>
      </c>
      <c r="G218" s="107"/>
      <c r="H218" s="108"/>
      <c r="I218" s="106" t="str">
        <f t="shared" si="11"/>
        <v/>
      </c>
    </row>
    <row r="219" spans="1:9" s="106" customFormat="1" ht="17.399999999999999">
      <c r="A219" s="104"/>
      <c r="B219" s="105"/>
      <c r="C219" s="106" t="str">
        <f t="shared" si="9"/>
        <v/>
      </c>
      <c r="D219" s="107"/>
      <c r="E219" s="108"/>
      <c r="F219" s="106" t="str">
        <f t="shared" si="10"/>
        <v/>
      </c>
      <c r="G219" s="107"/>
      <c r="H219" s="108"/>
      <c r="I219" s="106" t="str">
        <f t="shared" si="11"/>
        <v/>
      </c>
    </row>
    <row r="220" spans="1:9" s="106" customFormat="1" ht="17.399999999999999">
      <c r="A220" s="104"/>
      <c r="B220" s="105"/>
      <c r="C220" s="106" t="str">
        <f t="shared" si="9"/>
        <v/>
      </c>
      <c r="D220" s="107"/>
      <c r="E220" s="108"/>
      <c r="F220" s="106" t="str">
        <f t="shared" si="10"/>
        <v/>
      </c>
      <c r="G220" s="107"/>
      <c r="H220" s="108"/>
      <c r="I220" s="106" t="str">
        <f t="shared" si="11"/>
        <v/>
      </c>
    </row>
    <row r="221" spans="1:9" s="106" customFormat="1" ht="17.399999999999999">
      <c r="A221" s="104"/>
      <c r="B221" s="105"/>
      <c r="C221" s="106" t="str">
        <f t="shared" si="9"/>
        <v/>
      </c>
      <c r="D221" s="107"/>
      <c r="E221" s="108"/>
      <c r="F221" s="106" t="str">
        <f t="shared" si="10"/>
        <v/>
      </c>
      <c r="G221" s="107"/>
      <c r="H221" s="108"/>
      <c r="I221" s="106" t="str">
        <f t="shared" si="11"/>
        <v/>
      </c>
    </row>
    <row r="222" spans="1:9" s="106" customFormat="1" ht="17.399999999999999">
      <c r="A222" s="104"/>
      <c r="B222" s="105"/>
      <c r="C222" s="106" t="str">
        <f t="shared" si="9"/>
        <v/>
      </c>
      <c r="D222" s="107"/>
      <c r="E222" s="108"/>
      <c r="F222" s="106" t="str">
        <f t="shared" si="10"/>
        <v/>
      </c>
      <c r="G222" s="107"/>
      <c r="H222" s="108"/>
      <c r="I222" s="106" t="str">
        <f t="shared" si="11"/>
        <v/>
      </c>
    </row>
    <row r="223" spans="1:9" s="106" customFormat="1" ht="17.399999999999999">
      <c r="A223" s="104"/>
      <c r="B223" s="105"/>
      <c r="C223" s="106" t="str">
        <f t="shared" si="9"/>
        <v/>
      </c>
      <c r="D223" s="107"/>
      <c r="E223" s="108"/>
      <c r="F223" s="106" t="str">
        <f t="shared" si="10"/>
        <v/>
      </c>
      <c r="G223" s="107"/>
      <c r="H223" s="108"/>
      <c r="I223" s="106" t="str">
        <f t="shared" si="11"/>
        <v/>
      </c>
    </row>
    <row r="224" spans="1:9" s="106" customFormat="1" ht="17.399999999999999">
      <c r="A224" s="104"/>
      <c r="B224" s="105"/>
      <c r="C224" s="106" t="str">
        <f t="shared" si="9"/>
        <v/>
      </c>
      <c r="D224" s="107"/>
      <c r="E224" s="108"/>
      <c r="F224" s="106" t="str">
        <f t="shared" si="10"/>
        <v/>
      </c>
      <c r="G224" s="107"/>
      <c r="H224" s="108"/>
      <c r="I224" s="106" t="str">
        <f t="shared" si="11"/>
        <v/>
      </c>
    </row>
    <row r="225" spans="1:9" s="106" customFormat="1" ht="17.399999999999999">
      <c r="A225" s="104"/>
      <c r="B225" s="105"/>
      <c r="C225" s="106" t="str">
        <f t="shared" si="9"/>
        <v/>
      </c>
      <c r="D225" s="107"/>
      <c r="E225" s="108"/>
      <c r="F225" s="106" t="str">
        <f t="shared" si="10"/>
        <v/>
      </c>
      <c r="G225" s="107"/>
      <c r="H225" s="108"/>
      <c r="I225" s="106" t="str">
        <f t="shared" si="11"/>
        <v/>
      </c>
    </row>
    <row r="226" spans="1:9" s="106" customFormat="1" ht="17.399999999999999">
      <c r="A226" s="104"/>
      <c r="B226" s="105"/>
      <c r="C226" s="106" t="str">
        <f t="shared" si="9"/>
        <v/>
      </c>
      <c r="D226" s="107"/>
      <c r="E226" s="108"/>
      <c r="F226" s="106" t="str">
        <f t="shared" si="10"/>
        <v/>
      </c>
      <c r="G226" s="107"/>
      <c r="H226" s="108"/>
      <c r="I226" s="106" t="str">
        <f t="shared" si="11"/>
        <v/>
      </c>
    </row>
    <row r="227" spans="1:9" s="106" customFormat="1" ht="17.399999999999999">
      <c r="A227" s="104"/>
      <c r="B227" s="105"/>
      <c r="C227" s="106" t="str">
        <f t="shared" si="9"/>
        <v/>
      </c>
      <c r="D227" s="107"/>
      <c r="E227" s="108"/>
      <c r="F227" s="106" t="str">
        <f t="shared" si="10"/>
        <v/>
      </c>
      <c r="G227" s="107"/>
      <c r="H227" s="108"/>
      <c r="I227" s="106" t="str">
        <f t="shared" si="11"/>
        <v/>
      </c>
    </row>
    <row r="228" spans="1:9" s="106" customFormat="1" ht="17.399999999999999">
      <c r="A228" s="104"/>
      <c r="B228" s="105"/>
      <c r="C228" s="106" t="str">
        <f t="shared" si="9"/>
        <v/>
      </c>
      <c r="D228" s="107"/>
      <c r="E228" s="108"/>
      <c r="F228" s="106" t="str">
        <f t="shared" si="10"/>
        <v/>
      </c>
      <c r="G228" s="107"/>
      <c r="H228" s="108"/>
      <c r="I228" s="106" t="str">
        <f t="shared" si="11"/>
        <v/>
      </c>
    </row>
    <row r="229" spans="1:9" s="106" customFormat="1" ht="17.399999999999999">
      <c r="A229" s="104"/>
      <c r="B229" s="105"/>
      <c r="C229" s="106" t="str">
        <f t="shared" si="9"/>
        <v/>
      </c>
      <c r="D229" s="107"/>
      <c r="E229" s="108"/>
      <c r="F229" s="106" t="str">
        <f t="shared" si="10"/>
        <v/>
      </c>
      <c r="G229" s="107"/>
      <c r="H229" s="108"/>
      <c r="I229" s="106" t="str">
        <f t="shared" si="11"/>
        <v/>
      </c>
    </row>
    <row r="230" spans="1:9" s="106" customFormat="1" ht="17.399999999999999">
      <c r="A230" s="104"/>
      <c r="B230" s="105"/>
      <c r="C230" s="106" t="str">
        <f t="shared" si="9"/>
        <v/>
      </c>
      <c r="D230" s="107"/>
      <c r="E230" s="108"/>
      <c r="F230" s="106" t="str">
        <f t="shared" si="10"/>
        <v/>
      </c>
      <c r="G230" s="107"/>
      <c r="H230" s="108"/>
      <c r="I230" s="106" t="str">
        <f t="shared" si="11"/>
        <v/>
      </c>
    </row>
    <row r="231" spans="1:9" s="106" customFormat="1" ht="17.399999999999999">
      <c r="A231" s="104"/>
      <c r="B231" s="105"/>
      <c r="C231" s="106" t="str">
        <f t="shared" si="9"/>
        <v/>
      </c>
      <c r="D231" s="107"/>
      <c r="E231" s="108"/>
      <c r="F231" s="106" t="str">
        <f t="shared" si="10"/>
        <v/>
      </c>
      <c r="G231" s="107"/>
      <c r="H231" s="108"/>
      <c r="I231" s="106" t="str">
        <f t="shared" si="11"/>
        <v/>
      </c>
    </row>
    <row r="232" spans="1:9" s="106" customFormat="1" ht="17.399999999999999">
      <c r="A232" s="104"/>
      <c r="B232" s="105"/>
      <c r="C232" s="106" t="str">
        <f t="shared" si="9"/>
        <v/>
      </c>
      <c r="D232" s="107"/>
      <c r="E232" s="108"/>
      <c r="F232" s="106" t="str">
        <f t="shared" si="10"/>
        <v/>
      </c>
      <c r="G232" s="107"/>
      <c r="H232" s="108"/>
      <c r="I232" s="106" t="str">
        <f t="shared" si="11"/>
        <v/>
      </c>
    </row>
    <row r="233" spans="1:9" s="106" customFormat="1" ht="17.399999999999999">
      <c r="A233" s="104"/>
      <c r="B233" s="105"/>
      <c r="C233" s="106" t="str">
        <f t="shared" si="9"/>
        <v/>
      </c>
      <c r="D233" s="107"/>
      <c r="E233" s="108"/>
      <c r="F233" s="106" t="str">
        <f t="shared" si="10"/>
        <v/>
      </c>
      <c r="G233" s="107"/>
      <c r="H233" s="108"/>
      <c r="I233" s="106" t="str">
        <f t="shared" si="11"/>
        <v/>
      </c>
    </row>
    <row r="234" spans="1:9" s="106" customFormat="1" ht="17.399999999999999">
      <c r="A234" s="104"/>
      <c r="B234" s="105"/>
      <c r="C234" s="106" t="str">
        <f t="shared" si="9"/>
        <v/>
      </c>
      <c r="D234" s="107"/>
      <c r="E234" s="108"/>
      <c r="F234" s="106" t="str">
        <f t="shared" si="10"/>
        <v/>
      </c>
      <c r="G234" s="107"/>
      <c r="H234" s="108"/>
      <c r="I234" s="106" t="str">
        <f t="shared" si="11"/>
        <v/>
      </c>
    </row>
    <row r="235" spans="1:9" s="106" customFormat="1" ht="17.399999999999999">
      <c r="A235" s="104"/>
      <c r="B235" s="105"/>
      <c r="C235" s="106" t="str">
        <f t="shared" si="9"/>
        <v/>
      </c>
      <c r="D235" s="107"/>
      <c r="E235" s="108"/>
      <c r="F235" s="106" t="str">
        <f t="shared" si="10"/>
        <v/>
      </c>
      <c r="G235" s="107"/>
      <c r="H235" s="108"/>
      <c r="I235" s="106" t="str">
        <f t="shared" si="11"/>
        <v/>
      </c>
    </row>
    <row r="236" spans="1:9" s="106" customFormat="1" ht="17.399999999999999">
      <c r="A236" s="104"/>
      <c r="B236" s="105"/>
      <c r="C236" s="106" t="str">
        <f t="shared" si="9"/>
        <v/>
      </c>
      <c r="D236" s="107"/>
      <c r="E236" s="108"/>
      <c r="F236" s="106" t="str">
        <f t="shared" si="10"/>
        <v/>
      </c>
      <c r="G236" s="107"/>
      <c r="H236" s="108"/>
      <c r="I236" s="106" t="str">
        <f t="shared" si="11"/>
        <v/>
      </c>
    </row>
    <row r="237" spans="1:9" s="106" customFormat="1" ht="17.399999999999999">
      <c r="A237" s="104"/>
      <c r="B237" s="105"/>
      <c r="C237" s="106" t="str">
        <f t="shared" si="9"/>
        <v/>
      </c>
      <c r="D237" s="107"/>
      <c r="E237" s="108"/>
      <c r="F237" s="106" t="str">
        <f t="shared" si="10"/>
        <v/>
      </c>
      <c r="G237" s="107"/>
      <c r="H237" s="108"/>
      <c r="I237" s="106" t="str">
        <f t="shared" si="11"/>
        <v/>
      </c>
    </row>
    <row r="238" spans="1:9" s="106" customFormat="1" ht="17.399999999999999">
      <c r="A238" s="104"/>
      <c r="B238" s="105"/>
      <c r="C238" s="106" t="str">
        <f t="shared" si="9"/>
        <v/>
      </c>
      <c r="D238" s="107"/>
      <c r="E238" s="108"/>
      <c r="F238" s="106" t="str">
        <f t="shared" si="10"/>
        <v/>
      </c>
      <c r="G238" s="107"/>
      <c r="H238" s="108"/>
      <c r="I238" s="106" t="str">
        <f t="shared" si="11"/>
        <v/>
      </c>
    </row>
    <row r="239" spans="1:9" s="106" customFormat="1" ht="17.399999999999999">
      <c r="A239" s="104"/>
      <c r="B239" s="105"/>
      <c r="C239" s="106" t="str">
        <f t="shared" si="9"/>
        <v/>
      </c>
      <c r="D239" s="107"/>
      <c r="E239" s="108"/>
      <c r="F239" s="106" t="str">
        <f t="shared" si="10"/>
        <v/>
      </c>
      <c r="G239" s="107"/>
      <c r="H239" s="108"/>
      <c r="I239" s="106" t="str">
        <f t="shared" si="11"/>
        <v/>
      </c>
    </row>
    <row r="240" spans="1:9" s="106" customFormat="1" ht="17.399999999999999">
      <c r="A240" s="104"/>
      <c r="B240" s="105"/>
      <c r="C240" s="106" t="str">
        <f t="shared" si="9"/>
        <v/>
      </c>
      <c r="D240" s="107"/>
      <c r="E240" s="108"/>
      <c r="F240" s="106" t="str">
        <f t="shared" si="10"/>
        <v/>
      </c>
      <c r="G240" s="107"/>
      <c r="H240" s="108"/>
      <c r="I240" s="106" t="str">
        <f t="shared" si="11"/>
        <v/>
      </c>
    </row>
    <row r="241" spans="1:9" s="106" customFormat="1" ht="17.399999999999999">
      <c r="A241" s="104"/>
      <c r="B241" s="105"/>
      <c r="C241" s="106" t="str">
        <f t="shared" si="9"/>
        <v/>
      </c>
      <c r="D241" s="107"/>
      <c r="E241" s="108"/>
      <c r="F241" s="106" t="str">
        <f t="shared" si="10"/>
        <v/>
      </c>
      <c r="G241" s="107"/>
      <c r="H241" s="108"/>
      <c r="I241" s="106" t="str">
        <f t="shared" si="11"/>
        <v/>
      </c>
    </row>
    <row r="242" spans="1:9" s="106" customFormat="1" ht="17.399999999999999">
      <c r="A242" s="107"/>
      <c r="B242" s="108"/>
      <c r="C242" s="106" t="str">
        <f t="shared" si="9"/>
        <v/>
      </c>
      <c r="D242" s="107"/>
      <c r="E242" s="108"/>
      <c r="F242" s="106" t="str">
        <f t="shared" si="10"/>
        <v/>
      </c>
      <c r="G242" s="107"/>
      <c r="H242" s="108"/>
      <c r="I242" s="106" t="str">
        <f t="shared" si="11"/>
        <v/>
      </c>
    </row>
    <row r="243" spans="1:9" s="106" customFormat="1" ht="17.399999999999999">
      <c r="A243" s="107"/>
      <c r="B243" s="108"/>
      <c r="C243" s="106" t="str">
        <f t="shared" si="9"/>
        <v/>
      </c>
      <c r="D243" s="107"/>
      <c r="E243" s="108"/>
      <c r="F243" s="106" t="str">
        <f t="shared" si="10"/>
        <v/>
      </c>
      <c r="G243" s="107"/>
      <c r="H243" s="108"/>
      <c r="I243" s="106" t="str">
        <f t="shared" si="11"/>
        <v/>
      </c>
    </row>
    <row r="244" spans="1:9" s="106" customFormat="1" ht="17.399999999999999">
      <c r="A244" s="107"/>
      <c r="B244" s="108"/>
      <c r="C244" s="106" t="str">
        <f t="shared" si="9"/>
        <v/>
      </c>
      <c r="D244" s="107"/>
      <c r="E244" s="108"/>
      <c r="F244" s="106" t="str">
        <f t="shared" si="10"/>
        <v/>
      </c>
      <c r="G244" s="107"/>
      <c r="H244" s="108"/>
      <c r="I244" s="106" t="str">
        <f t="shared" si="11"/>
        <v/>
      </c>
    </row>
    <row r="245" spans="1:9" s="106" customFormat="1" ht="17.399999999999999">
      <c r="A245" s="107"/>
      <c r="B245" s="108"/>
      <c r="C245" s="106" t="str">
        <f t="shared" si="9"/>
        <v/>
      </c>
      <c r="D245" s="107"/>
      <c r="E245" s="108"/>
      <c r="F245" s="106" t="str">
        <f t="shared" si="10"/>
        <v/>
      </c>
      <c r="G245" s="107"/>
      <c r="H245" s="108"/>
      <c r="I245" s="106" t="str">
        <f t="shared" si="11"/>
        <v/>
      </c>
    </row>
    <row r="246" spans="1:9" s="106" customFormat="1" ht="17.399999999999999">
      <c r="A246" s="107"/>
      <c r="B246" s="108"/>
      <c r="C246" s="106" t="str">
        <f t="shared" si="9"/>
        <v/>
      </c>
      <c r="D246" s="107"/>
      <c r="E246" s="108"/>
      <c r="F246" s="106" t="str">
        <f t="shared" si="10"/>
        <v/>
      </c>
      <c r="G246" s="107"/>
      <c r="H246" s="108"/>
      <c r="I246" s="106" t="str">
        <f t="shared" si="11"/>
        <v/>
      </c>
    </row>
    <row r="247" spans="1:9" s="106" customFormat="1" ht="17.399999999999999">
      <c r="A247" s="107"/>
      <c r="B247" s="108"/>
      <c r="C247" s="106" t="str">
        <f t="shared" si="9"/>
        <v/>
      </c>
      <c r="D247" s="107"/>
      <c r="E247" s="108"/>
      <c r="F247" s="106" t="str">
        <f t="shared" si="10"/>
        <v/>
      </c>
      <c r="G247" s="107"/>
      <c r="H247" s="108"/>
      <c r="I247" s="106" t="str">
        <f t="shared" si="11"/>
        <v/>
      </c>
    </row>
    <row r="248" spans="1:9" s="106" customFormat="1" ht="17.399999999999999">
      <c r="A248" s="107"/>
      <c r="B248" s="108"/>
      <c r="C248" s="106" t="str">
        <f t="shared" si="9"/>
        <v/>
      </c>
      <c r="D248" s="107"/>
      <c r="E248" s="108"/>
      <c r="F248" s="106" t="str">
        <f t="shared" si="10"/>
        <v/>
      </c>
      <c r="G248" s="107"/>
      <c r="H248" s="108"/>
      <c r="I248" s="106" t="str">
        <f t="shared" si="11"/>
        <v/>
      </c>
    </row>
    <row r="249" spans="1:9" s="106" customFormat="1" ht="17.399999999999999">
      <c r="A249" s="107"/>
      <c r="B249" s="108"/>
      <c r="C249" s="106" t="str">
        <f t="shared" si="9"/>
        <v/>
      </c>
      <c r="D249" s="107"/>
      <c r="E249" s="108"/>
      <c r="F249" s="106" t="str">
        <f t="shared" si="10"/>
        <v/>
      </c>
      <c r="G249" s="107"/>
      <c r="H249" s="108"/>
      <c r="I249" s="106" t="str">
        <f t="shared" si="11"/>
        <v/>
      </c>
    </row>
    <row r="250" spans="1:9" s="106" customFormat="1" ht="17.399999999999999">
      <c r="A250" s="107"/>
      <c r="B250" s="108"/>
      <c r="C250" s="106" t="str">
        <f t="shared" si="9"/>
        <v/>
      </c>
      <c r="D250" s="107"/>
      <c r="E250" s="108"/>
      <c r="F250" s="106" t="str">
        <f t="shared" si="10"/>
        <v/>
      </c>
      <c r="G250" s="107"/>
      <c r="H250" s="108"/>
      <c r="I250" s="106" t="str">
        <f t="shared" si="11"/>
        <v/>
      </c>
    </row>
    <row r="251" spans="1:9" s="106" customFormat="1" ht="17.399999999999999">
      <c r="A251" s="107"/>
      <c r="B251" s="108"/>
      <c r="C251" s="106" t="str">
        <f t="shared" si="9"/>
        <v/>
      </c>
      <c r="D251" s="107"/>
      <c r="E251" s="108"/>
      <c r="F251" s="106" t="str">
        <f t="shared" si="10"/>
        <v/>
      </c>
      <c r="G251" s="107"/>
      <c r="H251" s="108"/>
      <c r="I251" s="106" t="str">
        <f t="shared" si="11"/>
        <v/>
      </c>
    </row>
    <row r="252" spans="1:9" s="106" customFormat="1" ht="17.399999999999999">
      <c r="A252" s="107"/>
      <c r="B252" s="108"/>
      <c r="C252" s="106" t="str">
        <f t="shared" si="9"/>
        <v/>
      </c>
      <c r="D252" s="107"/>
      <c r="E252" s="108"/>
      <c r="F252" s="106" t="str">
        <f t="shared" si="10"/>
        <v/>
      </c>
      <c r="G252" s="107"/>
      <c r="H252" s="108"/>
      <c r="I252" s="106" t="str">
        <f t="shared" si="11"/>
        <v/>
      </c>
    </row>
    <row r="253" spans="1:9" s="106" customFormat="1" ht="17.399999999999999">
      <c r="A253" s="107"/>
      <c r="B253" s="108"/>
      <c r="C253" s="106" t="str">
        <f t="shared" si="9"/>
        <v/>
      </c>
      <c r="D253" s="107"/>
      <c r="E253" s="108"/>
      <c r="F253" s="106" t="str">
        <f t="shared" si="10"/>
        <v/>
      </c>
      <c r="G253" s="107"/>
      <c r="H253" s="108"/>
      <c r="I253" s="106" t="str">
        <f t="shared" si="11"/>
        <v/>
      </c>
    </row>
    <row r="254" spans="1:9" s="106" customFormat="1" ht="17.399999999999999">
      <c r="A254" s="107"/>
      <c r="B254" s="108"/>
      <c r="C254" s="106" t="str">
        <f t="shared" si="9"/>
        <v/>
      </c>
      <c r="D254" s="107"/>
      <c r="E254" s="108"/>
      <c r="F254" s="106" t="str">
        <f t="shared" si="10"/>
        <v/>
      </c>
      <c r="G254" s="107"/>
      <c r="H254" s="108"/>
      <c r="I254" s="106" t="str">
        <f t="shared" si="11"/>
        <v/>
      </c>
    </row>
    <row r="255" spans="1:9" s="106" customFormat="1" ht="17.399999999999999">
      <c r="A255" s="107"/>
      <c r="B255" s="108"/>
      <c r="C255" s="106" t="str">
        <f t="shared" si="9"/>
        <v/>
      </c>
      <c r="D255" s="107"/>
      <c r="E255" s="108"/>
      <c r="F255" s="106" t="str">
        <f t="shared" si="10"/>
        <v/>
      </c>
      <c r="G255" s="107"/>
      <c r="H255" s="108"/>
      <c r="I255" s="106" t="str">
        <f t="shared" si="11"/>
        <v/>
      </c>
    </row>
    <row r="256" spans="1:9" s="106" customFormat="1" ht="17.399999999999999">
      <c r="A256" s="107"/>
      <c r="B256" s="108"/>
      <c r="C256" s="106" t="str">
        <f t="shared" si="9"/>
        <v/>
      </c>
      <c r="D256" s="107"/>
      <c r="E256" s="108"/>
      <c r="F256" s="106" t="str">
        <f t="shared" si="10"/>
        <v/>
      </c>
      <c r="G256" s="107"/>
      <c r="H256" s="108"/>
      <c r="I256" s="106" t="str">
        <f t="shared" si="11"/>
        <v/>
      </c>
    </row>
    <row r="257" spans="1:9" s="106" customFormat="1" ht="17.399999999999999">
      <c r="A257" s="107"/>
      <c r="B257" s="108"/>
      <c r="C257" s="106" t="str">
        <f t="shared" si="9"/>
        <v/>
      </c>
      <c r="D257" s="107"/>
      <c r="E257" s="108"/>
      <c r="F257" s="106" t="str">
        <f t="shared" si="10"/>
        <v/>
      </c>
      <c r="G257" s="107"/>
      <c r="H257" s="108"/>
      <c r="I257" s="106" t="str">
        <f t="shared" si="11"/>
        <v/>
      </c>
    </row>
    <row r="258" spans="1:9" s="106" customFormat="1" ht="17.399999999999999">
      <c r="A258" s="107"/>
      <c r="B258" s="108"/>
      <c r="C258" s="106" t="str">
        <f t="shared" si="9"/>
        <v/>
      </c>
      <c r="D258" s="107"/>
      <c r="E258" s="108"/>
      <c r="F258" s="106" t="str">
        <f t="shared" si="10"/>
        <v/>
      </c>
      <c r="G258" s="107"/>
      <c r="H258" s="108"/>
      <c r="I258" s="106" t="str">
        <f t="shared" si="11"/>
        <v/>
      </c>
    </row>
    <row r="259" spans="1:9" s="106" customFormat="1" ht="17.399999999999999">
      <c r="A259" s="107"/>
      <c r="B259" s="108"/>
      <c r="C259" s="106" t="str">
        <f t="shared" si="9"/>
        <v/>
      </c>
      <c r="D259" s="107"/>
      <c r="E259" s="108"/>
      <c r="F259" s="106" t="str">
        <f t="shared" si="10"/>
        <v/>
      </c>
      <c r="G259" s="107"/>
      <c r="H259" s="108"/>
      <c r="I259" s="106" t="str">
        <f t="shared" si="11"/>
        <v/>
      </c>
    </row>
    <row r="260" spans="1:9" s="106" customFormat="1" ht="17.399999999999999">
      <c r="A260" s="107"/>
      <c r="B260" s="108"/>
      <c r="C260" s="106" t="str">
        <f t="shared" si="9"/>
        <v/>
      </c>
      <c r="D260" s="107"/>
      <c r="E260" s="108"/>
      <c r="F260" s="106" t="str">
        <f t="shared" si="10"/>
        <v/>
      </c>
      <c r="G260" s="107"/>
      <c r="H260" s="108"/>
      <c r="I260" s="106" t="str">
        <f t="shared" si="11"/>
        <v/>
      </c>
    </row>
    <row r="261" spans="1:9" s="106" customFormat="1" ht="17.399999999999999">
      <c r="A261" s="107"/>
      <c r="B261" s="108"/>
      <c r="C261" s="106" t="str">
        <f t="shared" ref="C261:C304" si="12">IF(B261&gt;0,TEXT(B261,"(aaa)"),"")</f>
        <v/>
      </c>
      <c r="D261" s="107"/>
      <c r="E261" s="108"/>
      <c r="F261" s="106" t="str">
        <f t="shared" ref="F261:F304" si="13">IF(E261&gt;0,TEXT(E261,"(aaa)"),"")</f>
        <v/>
      </c>
      <c r="G261" s="107"/>
      <c r="H261" s="108"/>
      <c r="I261" s="106" t="str">
        <f t="shared" ref="I261:I304" si="14">IF(H261&gt;0,TEXT(H261,"(aaa)"),"")</f>
        <v/>
      </c>
    </row>
    <row r="262" spans="1:9" s="106" customFormat="1" ht="17.399999999999999">
      <c r="A262" s="107"/>
      <c r="B262" s="108"/>
      <c r="C262" s="106" t="str">
        <f t="shared" si="12"/>
        <v/>
      </c>
      <c r="D262" s="107"/>
      <c r="E262" s="108"/>
      <c r="F262" s="106" t="str">
        <f t="shared" si="13"/>
        <v/>
      </c>
      <c r="G262" s="107"/>
      <c r="H262" s="108"/>
      <c r="I262" s="106" t="str">
        <f t="shared" si="14"/>
        <v/>
      </c>
    </row>
    <row r="263" spans="1:9" s="106" customFormat="1" ht="17.399999999999999">
      <c r="A263" s="107"/>
      <c r="B263" s="108"/>
      <c r="C263" s="106" t="str">
        <f t="shared" si="12"/>
        <v/>
      </c>
      <c r="D263" s="107"/>
      <c r="E263" s="108"/>
      <c r="F263" s="106" t="str">
        <f t="shared" si="13"/>
        <v/>
      </c>
      <c r="G263" s="107"/>
      <c r="H263" s="108"/>
      <c r="I263" s="106" t="str">
        <f t="shared" si="14"/>
        <v/>
      </c>
    </row>
    <row r="264" spans="1:9" s="106" customFormat="1" ht="17.399999999999999">
      <c r="A264" s="107"/>
      <c r="B264" s="108"/>
      <c r="C264" s="106" t="str">
        <f t="shared" si="12"/>
        <v/>
      </c>
      <c r="D264" s="107"/>
      <c r="E264" s="108"/>
      <c r="F264" s="106" t="str">
        <f t="shared" si="13"/>
        <v/>
      </c>
      <c r="G264" s="107"/>
      <c r="H264" s="108"/>
      <c r="I264" s="106" t="str">
        <f t="shared" si="14"/>
        <v/>
      </c>
    </row>
    <row r="265" spans="1:9" s="106" customFormat="1" ht="17.399999999999999">
      <c r="A265" s="107"/>
      <c r="B265" s="108"/>
      <c r="C265" s="106" t="str">
        <f t="shared" si="12"/>
        <v/>
      </c>
      <c r="D265" s="107"/>
      <c r="E265" s="108"/>
      <c r="F265" s="106" t="str">
        <f t="shared" si="13"/>
        <v/>
      </c>
      <c r="G265" s="107"/>
      <c r="H265" s="108"/>
      <c r="I265" s="106" t="str">
        <f t="shared" si="14"/>
        <v/>
      </c>
    </row>
    <row r="266" spans="1:9" s="106" customFormat="1" ht="17.399999999999999">
      <c r="A266" s="107"/>
      <c r="B266" s="108"/>
      <c r="C266" s="106" t="str">
        <f t="shared" si="12"/>
        <v/>
      </c>
      <c r="D266" s="107"/>
      <c r="E266" s="108"/>
      <c r="F266" s="106" t="str">
        <f t="shared" si="13"/>
        <v/>
      </c>
      <c r="G266" s="107"/>
      <c r="H266" s="108"/>
      <c r="I266" s="106" t="str">
        <f t="shared" si="14"/>
        <v/>
      </c>
    </row>
    <row r="267" spans="1:9" s="106" customFormat="1" ht="17.399999999999999">
      <c r="A267" s="107"/>
      <c r="B267" s="108"/>
      <c r="C267" s="106" t="str">
        <f t="shared" si="12"/>
        <v/>
      </c>
      <c r="D267" s="107"/>
      <c r="E267" s="108"/>
      <c r="F267" s="106" t="str">
        <f t="shared" si="13"/>
        <v/>
      </c>
      <c r="G267" s="107"/>
      <c r="H267" s="108"/>
      <c r="I267" s="106" t="str">
        <f t="shared" si="14"/>
        <v/>
      </c>
    </row>
    <row r="268" spans="1:9" s="106" customFormat="1" ht="17.399999999999999">
      <c r="A268" s="107"/>
      <c r="B268" s="108"/>
      <c r="C268" s="106" t="str">
        <f t="shared" si="12"/>
        <v/>
      </c>
      <c r="D268" s="107"/>
      <c r="E268" s="108"/>
      <c r="F268" s="106" t="str">
        <f t="shared" si="13"/>
        <v/>
      </c>
      <c r="G268" s="107"/>
      <c r="H268" s="108"/>
      <c r="I268" s="106" t="str">
        <f t="shared" si="14"/>
        <v/>
      </c>
    </row>
    <row r="269" spans="1:9" s="106" customFormat="1" ht="17.399999999999999">
      <c r="A269" s="107"/>
      <c r="B269" s="108"/>
      <c r="C269" s="106" t="str">
        <f t="shared" si="12"/>
        <v/>
      </c>
      <c r="D269" s="107"/>
      <c r="E269" s="108"/>
      <c r="F269" s="106" t="str">
        <f t="shared" si="13"/>
        <v/>
      </c>
      <c r="G269" s="107"/>
      <c r="H269" s="108"/>
      <c r="I269" s="106" t="str">
        <f t="shared" si="14"/>
        <v/>
      </c>
    </row>
    <row r="270" spans="1:9" s="106" customFormat="1" ht="17.399999999999999">
      <c r="A270" s="107"/>
      <c r="B270" s="108"/>
      <c r="C270" s="106" t="str">
        <f t="shared" si="12"/>
        <v/>
      </c>
      <c r="D270" s="107"/>
      <c r="E270" s="108"/>
      <c r="F270" s="106" t="str">
        <f t="shared" si="13"/>
        <v/>
      </c>
      <c r="G270" s="107"/>
      <c r="H270" s="108"/>
      <c r="I270" s="106" t="str">
        <f t="shared" si="14"/>
        <v/>
      </c>
    </row>
    <row r="271" spans="1:9" s="106" customFormat="1" ht="17.399999999999999">
      <c r="A271" s="107"/>
      <c r="B271" s="108"/>
      <c r="C271" s="106" t="str">
        <f t="shared" si="12"/>
        <v/>
      </c>
      <c r="D271" s="107"/>
      <c r="E271" s="108"/>
      <c r="F271" s="106" t="str">
        <f t="shared" si="13"/>
        <v/>
      </c>
      <c r="G271" s="107"/>
      <c r="H271" s="108"/>
      <c r="I271" s="106" t="str">
        <f t="shared" si="14"/>
        <v/>
      </c>
    </row>
    <row r="272" spans="1:9" s="106" customFormat="1" ht="17.399999999999999">
      <c r="A272" s="107"/>
      <c r="B272" s="108"/>
      <c r="C272" s="106" t="str">
        <f t="shared" si="12"/>
        <v/>
      </c>
      <c r="D272" s="107"/>
      <c r="E272" s="108"/>
      <c r="F272" s="106" t="str">
        <f t="shared" si="13"/>
        <v/>
      </c>
      <c r="G272" s="107"/>
      <c r="H272" s="108"/>
      <c r="I272" s="106" t="str">
        <f t="shared" si="14"/>
        <v/>
      </c>
    </row>
    <row r="273" spans="1:9" s="106" customFormat="1" ht="17.399999999999999">
      <c r="A273" s="107"/>
      <c r="B273" s="108"/>
      <c r="C273" s="106" t="str">
        <f t="shared" si="12"/>
        <v/>
      </c>
      <c r="D273" s="107"/>
      <c r="E273" s="108"/>
      <c r="F273" s="106" t="str">
        <f t="shared" si="13"/>
        <v/>
      </c>
      <c r="G273" s="107"/>
      <c r="H273" s="108"/>
      <c r="I273" s="106" t="str">
        <f t="shared" si="14"/>
        <v/>
      </c>
    </row>
    <row r="274" spans="1:9" s="106" customFormat="1" ht="17.399999999999999">
      <c r="A274" s="107"/>
      <c r="B274" s="108"/>
      <c r="C274" s="106" t="str">
        <f t="shared" si="12"/>
        <v/>
      </c>
      <c r="D274" s="107"/>
      <c r="E274" s="108"/>
      <c r="F274" s="106" t="str">
        <f t="shared" si="13"/>
        <v/>
      </c>
      <c r="G274" s="107"/>
      <c r="H274" s="108"/>
      <c r="I274" s="106" t="str">
        <f t="shared" si="14"/>
        <v/>
      </c>
    </row>
    <row r="275" spans="1:9" s="106" customFormat="1" ht="17.399999999999999">
      <c r="A275" s="107"/>
      <c r="B275" s="108"/>
      <c r="C275" s="106" t="str">
        <f t="shared" si="12"/>
        <v/>
      </c>
      <c r="D275" s="107"/>
      <c r="E275" s="108"/>
      <c r="F275" s="106" t="str">
        <f t="shared" si="13"/>
        <v/>
      </c>
      <c r="G275" s="107"/>
      <c r="H275" s="108"/>
      <c r="I275" s="106" t="str">
        <f t="shared" si="14"/>
        <v/>
      </c>
    </row>
    <row r="276" spans="1:9" s="106" customFormat="1" ht="17.399999999999999">
      <c r="A276" s="107"/>
      <c r="B276" s="108"/>
      <c r="C276" s="106" t="str">
        <f t="shared" si="12"/>
        <v/>
      </c>
      <c r="D276" s="107"/>
      <c r="E276" s="108"/>
      <c r="F276" s="106" t="str">
        <f t="shared" si="13"/>
        <v/>
      </c>
      <c r="G276" s="107"/>
      <c r="H276" s="108"/>
      <c r="I276" s="106" t="str">
        <f t="shared" si="14"/>
        <v/>
      </c>
    </row>
    <row r="277" spans="1:9" s="106" customFormat="1" ht="17.399999999999999">
      <c r="A277" s="107"/>
      <c r="B277" s="108"/>
      <c r="C277" s="106" t="str">
        <f t="shared" si="12"/>
        <v/>
      </c>
      <c r="D277" s="107"/>
      <c r="E277" s="108"/>
      <c r="F277" s="106" t="str">
        <f t="shared" si="13"/>
        <v/>
      </c>
      <c r="G277" s="107"/>
      <c r="H277" s="108"/>
      <c r="I277" s="106" t="str">
        <f t="shared" si="14"/>
        <v/>
      </c>
    </row>
    <row r="278" spans="1:9" s="106" customFormat="1" ht="17.399999999999999">
      <c r="A278" s="107"/>
      <c r="B278" s="108"/>
      <c r="C278" s="106" t="str">
        <f t="shared" si="12"/>
        <v/>
      </c>
      <c r="D278" s="107"/>
      <c r="E278" s="108"/>
      <c r="F278" s="106" t="str">
        <f t="shared" si="13"/>
        <v/>
      </c>
      <c r="G278" s="107"/>
      <c r="H278" s="108"/>
      <c r="I278" s="106" t="str">
        <f t="shared" si="14"/>
        <v/>
      </c>
    </row>
    <row r="279" spans="1:9" s="106" customFormat="1" ht="17.399999999999999">
      <c r="A279" s="107"/>
      <c r="B279" s="108"/>
      <c r="C279" s="106" t="str">
        <f t="shared" si="12"/>
        <v/>
      </c>
      <c r="D279" s="107"/>
      <c r="E279" s="108"/>
      <c r="F279" s="106" t="str">
        <f t="shared" si="13"/>
        <v/>
      </c>
      <c r="G279" s="107"/>
      <c r="H279" s="108"/>
      <c r="I279" s="106" t="str">
        <f t="shared" si="14"/>
        <v/>
      </c>
    </row>
    <row r="280" spans="1:9" s="106" customFormat="1" ht="17.399999999999999">
      <c r="A280" s="107"/>
      <c r="B280" s="108"/>
      <c r="C280" s="106" t="str">
        <f t="shared" si="12"/>
        <v/>
      </c>
      <c r="D280" s="107"/>
      <c r="E280" s="108"/>
      <c r="F280" s="106" t="str">
        <f t="shared" si="13"/>
        <v/>
      </c>
      <c r="G280" s="107"/>
      <c r="H280" s="108"/>
      <c r="I280" s="106" t="str">
        <f t="shared" si="14"/>
        <v/>
      </c>
    </row>
    <row r="281" spans="1:9" s="106" customFormat="1" ht="17.399999999999999">
      <c r="A281" s="107"/>
      <c r="B281" s="108"/>
      <c r="C281" s="106" t="str">
        <f t="shared" si="12"/>
        <v/>
      </c>
      <c r="D281" s="107"/>
      <c r="E281" s="108"/>
      <c r="F281" s="106" t="str">
        <f t="shared" si="13"/>
        <v/>
      </c>
      <c r="G281" s="107"/>
      <c r="H281" s="108"/>
      <c r="I281" s="106" t="str">
        <f t="shared" si="14"/>
        <v/>
      </c>
    </row>
    <row r="282" spans="1:9" s="106" customFormat="1" ht="17.399999999999999">
      <c r="A282" s="107"/>
      <c r="B282" s="108"/>
      <c r="C282" s="106" t="str">
        <f t="shared" si="12"/>
        <v/>
      </c>
      <c r="D282" s="107"/>
      <c r="E282" s="108"/>
      <c r="F282" s="106" t="str">
        <f t="shared" si="13"/>
        <v/>
      </c>
      <c r="G282" s="107"/>
      <c r="H282" s="108"/>
      <c r="I282" s="106" t="str">
        <f t="shared" si="14"/>
        <v/>
      </c>
    </row>
    <row r="283" spans="1:9" s="106" customFormat="1" ht="17.399999999999999">
      <c r="A283" s="107"/>
      <c r="B283" s="108"/>
      <c r="C283" s="106" t="str">
        <f t="shared" si="12"/>
        <v/>
      </c>
      <c r="D283" s="107"/>
      <c r="E283" s="108"/>
      <c r="F283" s="106" t="str">
        <f t="shared" si="13"/>
        <v/>
      </c>
      <c r="G283" s="107"/>
      <c r="H283" s="108"/>
      <c r="I283" s="106" t="str">
        <f t="shared" si="14"/>
        <v/>
      </c>
    </row>
    <row r="284" spans="1:9" s="106" customFormat="1" ht="17.399999999999999">
      <c r="A284" s="107"/>
      <c r="B284" s="108"/>
      <c r="C284" s="106" t="str">
        <f t="shared" si="12"/>
        <v/>
      </c>
      <c r="D284" s="107"/>
      <c r="E284" s="108"/>
      <c r="F284" s="106" t="str">
        <f t="shared" si="13"/>
        <v/>
      </c>
      <c r="G284" s="107"/>
      <c r="H284" s="108"/>
      <c r="I284" s="106" t="str">
        <f t="shared" si="14"/>
        <v/>
      </c>
    </row>
    <row r="285" spans="1:9" s="106" customFormat="1" ht="17.399999999999999">
      <c r="A285" s="107"/>
      <c r="B285" s="108"/>
      <c r="C285" s="106" t="str">
        <f t="shared" si="12"/>
        <v/>
      </c>
      <c r="D285" s="107"/>
      <c r="E285" s="108"/>
      <c r="F285" s="106" t="str">
        <f t="shared" si="13"/>
        <v/>
      </c>
      <c r="G285" s="107"/>
      <c r="H285" s="108"/>
      <c r="I285" s="106" t="str">
        <f t="shared" si="14"/>
        <v/>
      </c>
    </row>
    <row r="286" spans="1:9" s="106" customFormat="1" ht="17.399999999999999">
      <c r="A286" s="107"/>
      <c r="B286" s="108"/>
      <c r="C286" s="106" t="str">
        <f t="shared" si="12"/>
        <v/>
      </c>
      <c r="D286" s="107"/>
      <c r="E286" s="108"/>
      <c r="F286" s="106" t="str">
        <f t="shared" si="13"/>
        <v/>
      </c>
      <c r="G286" s="107"/>
      <c r="H286" s="108"/>
      <c r="I286" s="106" t="str">
        <f t="shared" si="14"/>
        <v/>
      </c>
    </row>
    <row r="287" spans="1:9" s="106" customFormat="1" ht="17.399999999999999">
      <c r="A287" s="107"/>
      <c r="B287" s="108"/>
      <c r="C287" s="106" t="str">
        <f t="shared" si="12"/>
        <v/>
      </c>
      <c r="D287" s="107"/>
      <c r="E287" s="108"/>
      <c r="F287" s="106" t="str">
        <f t="shared" si="13"/>
        <v/>
      </c>
      <c r="G287" s="107"/>
      <c r="H287" s="108"/>
      <c r="I287" s="106" t="str">
        <f t="shared" si="14"/>
        <v/>
      </c>
    </row>
    <row r="288" spans="1:9" s="106" customFormat="1" ht="17.399999999999999">
      <c r="A288" s="107"/>
      <c r="B288" s="108"/>
      <c r="C288" s="106" t="str">
        <f t="shared" si="12"/>
        <v/>
      </c>
      <c r="D288" s="107"/>
      <c r="E288" s="108"/>
      <c r="F288" s="106" t="str">
        <f t="shared" si="13"/>
        <v/>
      </c>
      <c r="G288" s="107"/>
      <c r="H288" s="108"/>
      <c r="I288" s="106" t="str">
        <f t="shared" si="14"/>
        <v/>
      </c>
    </row>
    <row r="289" spans="1:9" s="106" customFormat="1" ht="17.399999999999999">
      <c r="A289" s="107"/>
      <c r="B289" s="108"/>
      <c r="C289" s="106" t="str">
        <f t="shared" si="12"/>
        <v/>
      </c>
      <c r="D289" s="107"/>
      <c r="E289" s="108"/>
      <c r="F289" s="106" t="str">
        <f t="shared" si="13"/>
        <v/>
      </c>
      <c r="G289" s="107"/>
      <c r="H289" s="108"/>
      <c r="I289" s="106" t="str">
        <f t="shared" si="14"/>
        <v/>
      </c>
    </row>
    <row r="290" spans="1:9" s="106" customFormat="1" ht="17.399999999999999">
      <c r="A290" s="107"/>
      <c r="B290" s="108"/>
      <c r="C290" s="106" t="str">
        <f t="shared" si="12"/>
        <v/>
      </c>
      <c r="D290" s="107"/>
      <c r="E290" s="108"/>
      <c r="F290" s="106" t="str">
        <f t="shared" si="13"/>
        <v/>
      </c>
      <c r="G290" s="107"/>
      <c r="H290" s="108"/>
      <c r="I290" s="106" t="str">
        <f t="shared" si="14"/>
        <v/>
      </c>
    </row>
    <row r="291" spans="1:9" s="106" customFormat="1" ht="17.399999999999999">
      <c r="A291" s="107"/>
      <c r="B291" s="108"/>
      <c r="C291" s="106" t="str">
        <f t="shared" si="12"/>
        <v/>
      </c>
      <c r="D291" s="107"/>
      <c r="E291" s="108"/>
      <c r="F291" s="106" t="str">
        <f t="shared" si="13"/>
        <v/>
      </c>
      <c r="G291" s="107"/>
      <c r="H291" s="108"/>
      <c r="I291" s="106" t="str">
        <f t="shared" si="14"/>
        <v/>
      </c>
    </row>
    <row r="292" spans="1:9" s="106" customFormat="1" ht="17.399999999999999">
      <c r="A292" s="107"/>
      <c r="B292" s="108"/>
      <c r="C292" s="106" t="str">
        <f t="shared" si="12"/>
        <v/>
      </c>
      <c r="D292" s="107"/>
      <c r="E292" s="108"/>
      <c r="F292" s="106" t="str">
        <f t="shared" si="13"/>
        <v/>
      </c>
      <c r="G292" s="107"/>
      <c r="H292" s="108"/>
      <c r="I292" s="106" t="str">
        <f t="shared" si="14"/>
        <v/>
      </c>
    </row>
    <row r="293" spans="1:9" s="106" customFormat="1" ht="17.399999999999999">
      <c r="A293" s="107"/>
      <c r="B293" s="108"/>
      <c r="C293" s="106" t="str">
        <f t="shared" si="12"/>
        <v/>
      </c>
      <c r="D293" s="107"/>
      <c r="E293" s="108"/>
      <c r="F293" s="106" t="str">
        <f t="shared" si="13"/>
        <v/>
      </c>
      <c r="G293" s="107"/>
      <c r="H293" s="108"/>
      <c r="I293" s="106" t="str">
        <f t="shared" si="14"/>
        <v/>
      </c>
    </row>
    <row r="294" spans="1:9" s="106" customFormat="1" ht="17.399999999999999">
      <c r="A294" s="107"/>
      <c r="B294" s="108"/>
      <c r="C294" s="106" t="str">
        <f t="shared" si="12"/>
        <v/>
      </c>
      <c r="D294" s="107"/>
      <c r="E294" s="108"/>
      <c r="F294" s="106" t="str">
        <f t="shared" si="13"/>
        <v/>
      </c>
      <c r="G294" s="107"/>
      <c r="H294" s="108"/>
      <c r="I294" s="106" t="str">
        <f t="shared" si="14"/>
        <v/>
      </c>
    </row>
    <row r="295" spans="1:9" s="106" customFormat="1" ht="17.399999999999999">
      <c r="A295" s="107"/>
      <c r="B295" s="108"/>
      <c r="C295" s="106" t="str">
        <f t="shared" si="12"/>
        <v/>
      </c>
      <c r="D295" s="107"/>
      <c r="E295" s="108"/>
      <c r="F295" s="106" t="str">
        <f t="shared" si="13"/>
        <v/>
      </c>
      <c r="G295" s="107"/>
      <c r="H295" s="108"/>
      <c r="I295" s="106" t="str">
        <f t="shared" si="14"/>
        <v/>
      </c>
    </row>
    <row r="296" spans="1:9" s="106" customFormat="1" ht="17.399999999999999">
      <c r="A296" s="107"/>
      <c r="B296" s="108"/>
      <c r="C296" s="106" t="str">
        <f t="shared" si="12"/>
        <v/>
      </c>
      <c r="D296" s="107"/>
      <c r="E296" s="108"/>
      <c r="F296" s="106" t="str">
        <f t="shared" si="13"/>
        <v/>
      </c>
      <c r="G296" s="107"/>
      <c r="H296" s="108"/>
      <c r="I296" s="106" t="str">
        <f t="shared" si="14"/>
        <v/>
      </c>
    </row>
    <row r="297" spans="1:9" s="106" customFormat="1" ht="17.399999999999999">
      <c r="A297" s="107"/>
      <c r="B297" s="108"/>
      <c r="C297" s="106" t="str">
        <f t="shared" si="12"/>
        <v/>
      </c>
      <c r="D297" s="107"/>
      <c r="E297" s="108"/>
      <c r="F297" s="106" t="str">
        <f t="shared" si="13"/>
        <v/>
      </c>
      <c r="G297" s="107"/>
      <c r="H297" s="108"/>
      <c r="I297" s="106" t="str">
        <f t="shared" si="14"/>
        <v/>
      </c>
    </row>
    <row r="298" spans="1:9" s="106" customFormat="1" ht="17.399999999999999">
      <c r="A298" s="107"/>
      <c r="B298" s="108"/>
      <c r="C298" s="106" t="str">
        <f t="shared" si="12"/>
        <v/>
      </c>
      <c r="D298" s="107"/>
      <c r="E298" s="108"/>
      <c r="F298" s="106" t="str">
        <f t="shared" si="13"/>
        <v/>
      </c>
      <c r="G298" s="107"/>
      <c r="H298" s="108"/>
      <c r="I298" s="106" t="str">
        <f t="shared" si="14"/>
        <v/>
      </c>
    </row>
    <row r="299" spans="1:9" s="106" customFormat="1" ht="17.399999999999999">
      <c r="A299" s="107"/>
      <c r="B299" s="108"/>
      <c r="C299" s="106" t="str">
        <f t="shared" si="12"/>
        <v/>
      </c>
      <c r="D299" s="107"/>
      <c r="E299" s="108"/>
      <c r="F299" s="106" t="str">
        <f t="shared" si="13"/>
        <v/>
      </c>
      <c r="G299" s="107"/>
      <c r="H299" s="108"/>
      <c r="I299" s="106" t="str">
        <f t="shared" si="14"/>
        <v/>
      </c>
    </row>
    <row r="300" spans="1:9" s="106" customFormat="1" ht="17.399999999999999">
      <c r="A300" s="107"/>
      <c r="B300" s="108"/>
      <c r="C300" s="106" t="str">
        <f t="shared" si="12"/>
        <v/>
      </c>
      <c r="D300" s="107"/>
      <c r="E300" s="108"/>
      <c r="F300" s="106" t="str">
        <f t="shared" si="13"/>
        <v/>
      </c>
      <c r="G300" s="107"/>
      <c r="H300" s="108"/>
      <c r="I300" s="106" t="str">
        <f t="shared" si="14"/>
        <v/>
      </c>
    </row>
    <row r="301" spans="1:9" s="106" customFormat="1" ht="17.399999999999999">
      <c r="A301" s="107"/>
      <c r="B301" s="108"/>
      <c r="C301" s="106" t="str">
        <f t="shared" si="12"/>
        <v/>
      </c>
      <c r="D301" s="107"/>
      <c r="E301" s="108"/>
      <c r="F301" s="106" t="str">
        <f t="shared" si="13"/>
        <v/>
      </c>
      <c r="G301" s="107"/>
      <c r="H301" s="108"/>
      <c r="I301" s="106" t="str">
        <f t="shared" si="14"/>
        <v/>
      </c>
    </row>
    <row r="302" spans="1:9" s="106" customFormat="1" ht="17.399999999999999">
      <c r="A302" s="107"/>
      <c r="B302" s="111"/>
      <c r="C302" s="106" t="str">
        <f t="shared" si="12"/>
        <v/>
      </c>
      <c r="D302" s="107"/>
      <c r="E302" s="111"/>
      <c r="F302" s="106" t="str">
        <f t="shared" si="13"/>
        <v/>
      </c>
      <c r="G302" s="107"/>
      <c r="H302" s="111"/>
      <c r="I302" s="106" t="str">
        <f t="shared" si="14"/>
        <v/>
      </c>
    </row>
    <row r="303" spans="1:9" s="106" customFormat="1" ht="17.399999999999999">
      <c r="A303" s="107"/>
      <c r="B303" s="111"/>
      <c r="C303" s="106" t="str">
        <f t="shared" si="12"/>
        <v/>
      </c>
      <c r="D303" s="107"/>
      <c r="E303" s="111"/>
      <c r="F303" s="106" t="str">
        <f t="shared" si="13"/>
        <v/>
      </c>
      <c r="G303" s="107"/>
      <c r="H303" s="111"/>
      <c r="I303" s="106" t="str">
        <f t="shared" si="14"/>
        <v/>
      </c>
    </row>
    <row r="304" spans="1:9" s="106" customFormat="1" ht="17.399999999999999">
      <c r="A304" s="107"/>
      <c r="B304" s="111"/>
      <c r="C304" s="106" t="str">
        <f t="shared" si="12"/>
        <v/>
      </c>
      <c r="D304" s="107"/>
      <c r="E304" s="111"/>
      <c r="F304" s="106" t="str">
        <f t="shared" si="13"/>
        <v/>
      </c>
      <c r="G304" s="107"/>
      <c r="H304" s="111"/>
      <c r="I304" s="106" t="str">
        <f t="shared" si="14"/>
        <v/>
      </c>
    </row>
    <row r="305" spans="1:7" s="106" customFormat="1" ht="17.399999999999999">
      <c r="A305" s="106" t="s">
        <v>1391</v>
      </c>
      <c r="D305" s="106" t="s">
        <v>1391</v>
      </c>
      <c r="G305" s="106" t="s">
        <v>1391</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F571"/>
  <sheetViews>
    <sheetView zoomScale="120" zoomScaleNormal="120" workbookViewId="0">
      <pane ySplit="1" topLeftCell="A536" activePane="bottomLeft" state="frozen"/>
      <selection pane="bottomLeft" activeCell="D559" sqref="D559"/>
    </sheetView>
  </sheetViews>
  <sheetFormatPr defaultColWidth="73.3984375" defaultRowHeight="13.2"/>
  <cols>
    <col min="1" max="1" width="7.59765625" style="87" bestFit="1" customWidth="1"/>
    <col min="2" max="2" width="8.3984375" style="88" bestFit="1" customWidth="1"/>
    <col min="3" max="3" width="15.69921875" style="89" customWidth="1"/>
    <col min="4" max="4" width="60.59765625" style="90" customWidth="1"/>
    <col min="5" max="5" width="72.69921875" style="90" bestFit="1" customWidth="1"/>
    <col min="6" max="26" width="73.3984375" style="87"/>
    <col min="27" max="27" width="73.3984375" style="87" customWidth="1"/>
    <col min="28" max="16384" width="73.3984375" style="87"/>
  </cols>
  <sheetData>
    <row r="1" spans="1:6" s="85" customFormat="1">
      <c r="A1" s="85" t="s">
        <v>505</v>
      </c>
      <c r="B1" s="85" t="s">
        <v>506</v>
      </c>
      <c r="C1" s="86" t="s">
        <v>507</v>
      </c>
      <c r="D1" s="86" t="s">
        <v>65</v>
      </c>
      <c r="E1" s="86" t="s">
        <v>66</v>
      </c>
    </row>
    <row r="2" spans="1:6" ht="79.2">
      <c r="A2" s="87" t="s">
        <v>565</v>
      </c>
      <c r="B2" s="88">
        <v>1</v>
      </c>
      <c r="C2" s="89" t="s">
        <v>1036</v>
      </c>
      <c r="D2" s="90" t="s">
        <v>508</v>
      </c>
      <c r="E2" s="90" t="s">
        <v>597</v>
      </c>
    </row>
    <row r="3" spans="1:6" ht="92.4">
      <c r="A3" s="91">
        <v>600</v>
      </c>
      <c r="B3" s="88">
        <v>2</v>
      </c>
      <c r="C3" s="89" t="s">
        <v>1036</v>
      </c>
      <c r="D3" s="90" t="s">
        <v>501</v>
      </c>
      <c r="E3" s="90" t="s">
        <v>598</v>
      </c>
    </row>
    <row r="4" spans="1:6" ht="52.8">
      <c r="B4" s="88">
        <v>3</v>
      </c>
      <c r="C4" s="89" t="s">
        <v>1036</v>
      </c>
      <c r="D4" s="90" t="s">
        <v>509</v>
      </c>
      <c r="E4" s="90" t="s">
        <v>599</v>
      </c>
    </row>
    <row r="5" spans="1:6" ht="52.8">
      <c r="B5" s="88">
        <v>4</v>
      </c>
      <c r="C5" s="89" t="s">
        <v>1036</v>
      </c>
      <c r="D5" s="90" t="s">
        <v>510</v>
      </c>
      <c r="E5" s="90" t="s">
        <v>600</v>
      </c>
    </row>
    <row r="6" spans="1:6" ht="52.8">
      <c r="B6" s="88">
        <v>5</v>
      </c>
      <c r="C6" s="89" t="s">
        <v>1036</v>
      </c>
      <c r="D6" s="90" t="s">
        <v>511</v>
      </c>
      <c r="E6" s="90" t="s">
        <v>601</v>
      </c>
    </row>
    <row r="7" spans="1:6" ht="39.6">
      <c r="B7" s="88">
        <v>6</v>
      </c>
      <c r="C7" s="89" t="s">
        <v>1036</v>
      </c>
      <c r="D7" s="90" t="s">
        <v>512</v>
      </c>
      <c r="E7" s="90" t="s">
        <v>602</v>
      </c>
    </row>
    <row r="8" spans="1:6">
      <c r="B8" s="88">
        <v>7</v>
      </c>
      <c r="C8" s="89" t="s">
        <v>1036</v>
      </c>
      <c r="D8" s="90" t="s">
        <v>503</v>
      </c>
      <c r="E8" s="90" t="s">
        <v>603</v>
      </c>
    </row>
    <row r="9" spans="1:6" ht="52.8">
      <c r="B9" s="88">
        <v>8</v>
      </c>
      <c r="C9" s="89" t="s">
        <v>1266</v>
      </c>
      <c r="D9" s="90" t="s">
        <v>1263</v>
      </c>
      <c r="E9" s="90" t="s">
        <v>1159</v>
      </c>
      <c r="F9" s="87">
        <f>LEN(D9)</f>
        <v>265</v>
      </c>
    </row>
    <row r="10" spans="1:6" ht="39.6">
      <c r="B10" s="88">
        <v>9</v>
      </c>
      <c r="C10" s="89" t="s">
        <v>1266</v>
      </c>
      <c r="D10" s="90" t="s">
        <v>1236</v>
      </c>
      <c r="E10" s="90" t="s">
        <v>1184</v>
      </c>
      <c r="F10" s="87">
        <f>LEN(D10)</f>
        <v>246</v>
      </c>
    </row>
    <row r="11" spans="1:6" ht="52.8">
      <c r="B11" s="88">
        <v>10</v>
      </c>
      <c r="C11" s="89" t="s">
        <v>1266</v>
      </c>
      <c r="D11" s="90" t="s">
        <v>1264</v>
      </c>
      <c r="E11" s="90" t="s">
        <v>1238</v>
      </c>
      <c r="F11" s="87">
        <f>LEN(D11)</f>
        <v>263</v>
      </c>
    </row>
    <row r="12" spans="1:6" ht="39.6">
      <c r="B12" s="88">
        <v>11</v>
      </c>
      <c r="C12" s="89" t="s">
        <v>1266</v>
      </c>
      <c r="D12" s="90" t="s">
        <v>1241</v>
      </c>
      <c r="E12" s="90" t="s">
        <v>1240</v>
      </c>
      <c r="F12" s="87">
        <f>LEN(D12)</f>
        <v>237</v>
      </c>
    </row>
    <row r="13" spans="1:6" ht="66">
      <c r="B13" s="88">
        <v>12</v>
      </c>
      <c r="C13" s="89" t="s">
        <v>1266</v>
      </c>
      <c r="D13" s="90" t="s">
        <v>1244</v>
      </c>
      <c r="E13" s="90" t="s">
        <v>1189</v>
      </c>
      <c r="F13" s="87">
        <f>LEN(D13)</f>
        <v>384</v>
      </c>
    </row>
    <row r="14" spans="1:6">
      <c r="B14" s="88">
        <v>101</v>
      </c>
      <c r="D14" s="90" t="s">
        <v>67</v>
      </c>
      <c r="E14" s="90" t="s">
        <v>604</v>
      </c>
    </row>
    <row r="15" spans="1:6">
      <c r="B15" s="88">
        <v>102</v>
      </c>
      <c r="D15" s="90" t="s">
        <v>68</v>
      </c>
      <c r="E15" s="90" t="s">
        <v>605</v>
      </c>
    </row>
    <row r="16" spans="1:6">
      <c r="B16" s="88">
        <v>103</v>
      </c>
      <c r="D16" s="90" t="s">
        <v>69</v>
      </c>
      <c r="E16" s="90" t="s">
        <v>606</v>
      </c>
    </row>
    <row r="17" spans="1:6">
      <c r="B17" s="88">
        <v>104</v>
      </c>
      <c r="D17" s="90" t="s">
        <v>70</v>
      </c>
      <c r="E17" s="90" t="s">
        <v>607</v>
      </c>
    </row>
    <row r="18" spans="1:6">
      <c r="B18" s="88">
        <v>105</v>
      </c>
      <c r="D18" s="90" t="s">
        <v>71</v>
      </c>
      <c r="E18" s="90" t="s">
        <v>608</v>
      </c>
    </row>
    <row r="19" spans="1:6">
      <c r="B19" s="88">
        <v>106</v>
      </c>
      <c r="D19" s="90" t="s">
        <v>422</v>
      </c>
      <c r="E19" s="90" t="s">
        <v>609</v>
      </c>
    </row>
    <row r="20" spans="1:6" ht="26.4">
      <c r="B20" s="88">
        <v>107</v>
      </c>
      <c r="D20" s="90" t="s">
        <v>423</v>
      </c>
      <c r="E20" s="90" t="s">
        <v>610</v>
      </c>
    </row>
    <row r="21" spans="1:6" ht="39.6">
      <c r="B21" s="88">
        <v>108</v>
      </c>
      <c r="D21" s="90" t="s">
        <v>424</v>
      </c>
      <c r="E21" s="90" t="s">
        <v>611</v>
      </c>
    </row>
    <row r="22" spans="1:6">
      <c r="B22" s="88">
        <v>109</v>
      </c>
      <c r="D22" s="90" t="s">
        <v>72</v>
      </c>
      <c r="E22" s="90" t="s">
        <v>612</v>
      </c>
    </row>
    <row r="23" spans="1:6">
      <c r="B23" s="88">
        <v>110</v>
      </c>
      <c r="D23" s="90" t="s">
        <v>73</v>
      </c>
      <c r="E23" s="90" t="s">
        <v>613</v>
      </c>
    </row>
    <row r="24" spans="1:6">
      <c r="B24" s="88">
        <v>111</v>
      </c>
      <c r="D24" s="90" t="s">
        <v>74</v>
      </c>
      <c r="E24" s="90" t="s">
        <v>614</v>
      </c>
    </row>
    <row r="25" spans="1:6">
      <c r="A25" s="92"/>
      <c r="B25" s="88">
        <v>112</v>
      </c>
      <c r="C25" s="93" t="s">
        <v>513</v>
      </c>
      <c r="D25" s="91" t="s">
        <v>514</v>
      </c>
      <c r="E25" s="91" t="s">
        <v>588</v>
      </c>
      <c r="F25" s="94"/>
    </row>
    <row r="26" spans="1:6">
      <c r="B26" s="88">
        <v>113</v>
      </c>
      <c r="D26" s="90" t="s">
        <v>75</v>
      </c>
      <c r="E26" s="90" t="s">
        <v>588</v>
      </c>
    </row>
    <row r="27" spans="1:6">
      <c r="B27" s="88">
        <v>114</v>
      </c>
      <c r="D27" s="90" t="s">
        <v>76</v>
      </c>
      <c r="E27" s="90" t="s">
        <v>615</v>
      </c>
    </row>
    <row r="28" spans="1:6">
      <c r="B28" s="88">
        <v>115</v>
      </c>
      <c r="D28" s="90" t="s">
        <v>77</v>
      </c>
      <c r="E28" s="90" t="s">
        <v>616</v>
      </c>
    </row>
    <row r="29" spans="1:6" ht="26.4">
      <c r="B29" s="88">
        <v>116</v>
      </c>
      <c r="D29" s="90" t="s">
        <v>425</v>
      </c>
      <c r="E29" s="90" t="s">
        <v>617</v>
      </c>
    </row>
    <row r="30" spans="1:6">
      <c r="B30" s="88">
        <v>117</v>
      </c>
      <c r="D30" s="90" t="s">
        <v>1048</v>
      </c>
      <c r="E30" s="90" t="s">
        <v>1049</v>
      </c>
    </row>
    <row r="31" spans="1:6">
      <c r="B31" s="88">
        <v>118</v>
      </c>
      <c r="D31" s="90" t="s">
        <v>1075</v>
      </c>
      <c r="E31" s="90" t="s">
        <v>1076</v>
      </c>
    </row>
    <row r="32" spans="1:6" ht="26.4">
      <c r="B32" s="88">
        <v>119</v>
      </c>
      <c r="D32" s="90" t="s">
        <v>78</v>
      </c>
      <c r="E32" s="90" t="s">
        <v>618</v>
      </c>
    </row>
    <row r="33" spans="2:5">
      <c r="B33" s="88">
        <v>120</v>
      </c>
      <c r="D33" s="90" t="s">
        <v>79</v>
      </c>
      <c r="E33" s="90" t="s">
        <v>619</v>
      </c>
    </row>
    <row r="34" spans="2:5">
      <c r="B34" s="88">
        <v>121</v>
      </c>
      <c r="D34" s="90" t="s">
        <v>420</v>
      </c>
      <c r="E34" s="90" t="s">
        <v>572</v>
      </c>
    </row>
    <row r="35" spans="2:5">
      <c r="B35" s="88">
        <v>122</v>
      </c>
      <c r="D35" s="90" t="s">
        <v>80</v>
      </c>
      <c r="E35" s="90" t="s">
        <v>620</v>
      </c>
    </row>
    <row r="36" spans="2:5">
      <c r="B36" s="88">
        <v>123</v>
      </c>
      <c r="D36" s="90" t="s">
        <v>1078</v>
      </c>
      <c r="E36" s="90" t="s">
        <v>1077</v>
      </c>
    </row>
    <row r="37" spans="2:5">
      <c r="B37" s="88">
        <v>124</v>
      </c>
      <c r="D37" s="90" t="s">
        <v>1079</v>
      </c>
      <c r="E37" s="90" t="s">
        <v>1080</v>
      </c>
    </row>
    <row r="38" spans="2:5">
      <c r="B38" s="88">
        <v>125</v>
      </c>
      <c r="D38" s="90" t="s">
        <v>81</v>
      </c>
      <c r="E38" s="90" t="s">
        <v>621</v>
      </c>
    </row>
    <row r="39" spans="2:5">
      <c r="B39" s="88">
        <v>126</v>
      </c>
      <c r="D39" s="90" t="s">
        <v>82</v>
      </c>
      <c r="E39" s="90" t="s">
        <v>622</v>
      </c>
    </row>
    <row r="40" spans="2:5" ht="26.4">
      <c r="B40" s="88">
        <v>127</v>
      </c>
      <c r="D40" s="90" t="s">
        <v>421</v>
      </c>
      <c r="E40" s="90" t="s">
        <v>573</v>
      </c>
    </row>
    <row r="41" spans="2:5">
      <c r="B41" s="88">
        <v>128</v>
      </c>
      <c r="D41" s="90" t="s">
        <v>1304</v>
      </c>
      <c r="E41" s="90" t="s">
        <v>1305</v>
      </c>
    </row>
    <row r="42" spans="2:5">
      <c r="B42" s="88">
        <v>129</v>
      </c>
      <c r="D42" s="90" t="s">
        <v>83</v>
      </c>
      <c r="E42" s="90" t="s">
        <v>623</v>
      </c>
    </row>
    <row r="43" spans="2:5">
      <c r="B43" s="88">
        <v>130</v>
      </c>
      <c r="D43" s="90" t="s">
        <v>426</v>
      </c>
      <c r="E43" s="90" t="s">
        <v>624</v>
      </c>
    </row>
    <row r="44" spans="2:5">
      <c r="B44" s="88">
        <v>131</v>
      </c>
      <c r="D44" s="90" t="s">
        <v>84</v>
      </c>
      <c r="E44" s="90" t="s">
        <v>625</v>
      </c>
    </row>
    <row r="45" spans="2:5">
      <c r="B45" s="88">
        <v>132</v>
      </c>
      <c r="D45" s="90" t="s">
        <v>85</v>
      </c>
      <c r="E45" s="90" t="s">
        <v>626</v>
      </c>
    </row>
    <row r="46" spans="2:5">
      <c r="B46" s="88">
        <v>133</v>
      </c>
      <c r="D46" s="90" t="s">
        <v>86</v>
      </c>
      <c r="E46" s="90" t="s">
        <v>627</v>
      </c>
    </row>
    <row r="47" spans="2:5">
      <c r="B47" s="88">
        <v>134</v>
      </c>
      <c r="D47" s="95" t="s">
        <v>427</v>
      </c>
      <c r="E47" s="96">
        <v>43435</v>
      </c>
    </row>
    <row r="48" spans="2:5">
      <c r="B48" s="88">
        <v>135</v>
      </c>
      <c r="D48" s="95" t="s">
        <v>427</v>
      </c>
      <c r="E48" s="96">
        <v>43435</v>
      </c>
    </row>
    <row r="49" spans="2:5">
      <c r="B49" s="88">
        <v>136</v>
      </c>
      <c r="D49" s="95" t="s">
        <v>428</v>
      </c>
      <c r="E49" s="96">
        <v>43465</v>
      </c>
    </row>
    <row r="50" spans="2:5">
      <c r="B50" s="88">
        <v>137</v>
      </c>
      <c r="D50" s="95" t="s">
        <v>428</v>
      </c>
      <c r="E50" s="96">
        <v>43465</v>
      </c>
    </row>
    <row r="51" spans="2:5">
      <c r="B51" s="88">
        <v>138</v>
      </c>
      <c r="D51" s="90" t="s">
        <v>87</v>
      </c>
      <c r="E51" s="90" t="s">
        <v>87</v>
      </c>
    </row>
    <row r="52" spans="2:5">
      <c r="B52" s="88">
        <v>139</v>
      </c>
      <c r="D52" s="90" t="s">
        <v>1058</v>
      </c>
      <c r="E52" s="90" t="s">
        <v>1059</v>
      </c>
    </row>
    <row r="53" spans="2:5">
      <c r="B53" s="88">
        <v>140</v>
      </c>
      <c r="D53" s="90" t="s">
        <v>1038</v>
      </c>
      <c r="E53" s="90" t="s">
        <v>1039</v>
      </c>
    </row>
    <row r="54" spans="2:5">
      <c r="B54" s="88">
        <v>141</v>
      </c>
      <c r="D54" s="90" t="s">
        <v>88</v>
      </c>
      <c r="E54" s="90" t="s">
        <v>628</v>
      </c>
    </row>
    <row r="55" spans="2:5">
      <c r="B55" s="88">
        <v>142</v>
      </c>
      <c r="C55" s="89" t="s">
        <v>515</v>
      </c>
      <c r="D55" s="90" t="s">
        <v>516</v>
      </c>
      <c r="E55" s="90" t="s">
        <v>517</v>
      </c>
    </row>
    <row r="56" spans="2:5">
      <c r="B56" s="88">
        <v>143</v>
      </c>
      <c r="D56" s="90" t="s">
        <v>89</v>
      </c>
      <c r="E56" s="90" t="s">
        <v>629</v>
      </c>
    </row>
    <row r="57" spans="2:5">
      <c r="B57" s="88">
        <v>144</v>
      </c>
      <c r="D57" s="90" t="s">
        <v>90</v>
      </c>
      <c r="E57" s="90" t="s">
        <v>630</v>
      </c>
    </row>
    <row r="58" spans="2:5">
      <c r="B58" s="88">
        <v>145</v>
      </c>
      <c r="D58" s="90" t="s">
        <v>429</v>
      </c>
      <c r="E58" s="90" t="s">
        <v>585</v>
      </c>
    </row>
    <row r="59" spans="2:5">
      <c r="B59" s="88">
        <v>146</v>
      </c>
      <c r="D59" s="90" t="s">
        <v>91</v>
      </c>
      <c r="E59" s="90" t="s">
        <v>631</v>
      </c>
    </row>
    <row r="60" spans="2:5">
      <c r="B60" s="88">
        <v>147</v>
      </c>
      <c r="D60" s="90" t="s">
        <v>92</v>
      </c>
      <c r="E60" s="90" t="s">
        <v>632</v>
      </c>
    </row>
    <row r="61" spans="2:5">
      <c r="B61" s="88">
        <v>148</v>
      </c>
      <c r="D61" s="90" t="s">
        <v>93</v>
      </c>
      <c r="E61" s="90" t="s">
        <v>633</v>
      </c>
    </row>
    <row r="62" spans="2:5">
      <c r="B62" s="88">
        <v>149</v>
      </c>
      <c r="D62" s="90" t="s">
        <v>94</v>
      </c>
      <c r="E62" s="90" t="s">
        <v>634</v>
      </c>
    </row>
    <row r="63" spans="2:5">
      <c r="B63" s="88">
        <v>150</v>
      </c>
      <c r="D63" s="90" t="s">
        <v>95</v>
      </c>
      <c r="E63" s="90" t="s">
        <v>635</v>
      </c>
    </row>
    <row r="64" spans="2:5">
      <c r="B64" s="88">
        <v>151</v>
      </c>
      <c r="D64" s="90" t="s">
        <v>430</v>
      </c>
      <c r="E64" s="90" t="s">
        <v>584</v>
      </c>
    </row>
    <row r="65" spans="1:6">
      <c r="B65" s="88">
        <v>152</v>
      </c>
      <c r="D65" s="90" t="s">
        <v>96</v>
      </c>
      <c r="E65" s="90" t="s">
        <v>636</v>
      </c>
    </row>
    <row r="66" spans="1:6">
      <c r="B66" s="88">
        <v>153</v>
      </c>
      <c r="D66" s="90" t="s">
        <v>97</v>
      </c>
      <c r="E66" s="90" t="s">
        <v>637</v>
      </c>
    </row>
    <row r="67" spans="1:6">
      <c r="B67" s="88">
        <v>154</v>
      </c>
      <c r="D67" s="90" t="s">
        <v>98</v>
      </c>
      <c r="E67" s="90" t="s">
        <v>638</v>
      </c>
    </row>
    <row r="68" spans="1:6">
      <c r="B68" s="88">
        <v>155</v>
      </c>
      <c r="D68" s="90" t="s">
        <v>99</v>
      </c>
      <c r="E68" s="90" t="s">
        <v>639</v>
      </c>
    </row>
    <row r="69" spans="1:6">
      <c r="B69" s="88">
        <v>156</v>
      </c>
      <c r="D69" s="90" t="s">
        <v>431</v>
      </c>
      <c r="E69" s="90" t="s">
        <v>640</v>
      </c>
    </row>
    <row r="70" spans="1:6">
      <c r="A70" s="97"/>
      <c r="B70" s="88">
        <v>157</v>
      </c>
      <c r="C70" s="93" t="s">
        <v>496</v>
      </c>
      <c r="D70" s="91" t="s">
        <v>518</v>
      </c>
      <c r="E70" s="91" t="s">
        <v>641</v>
      </c>
      <c r="F70" s="94"/>
    </row>
    <row r="71" spans="1:6">
      <c r="B71" s="88">
        <v>158</v>
      </c>
      <c r="D71" s="90" t="s">
        <v>100</v>
      </c>
      <c r="E71" s="91" t="s">
        <v>642</v>
      </c>
    </row>
    <row r="72" spans="1:6">
      <c r="B72" s="88">
        <v>159</v>
      </c>
      <c r="D72" s="90" t="s">
        <v>101</v>
      </c>
      <c r="E72" s="91" t="s">
        <v>643</v>
      </c>
    </row>
    <row r="73" spans="1:6">
      <c r="A73" s="97"/>
      <c r="B73" s="88">
        <v>160</v>
      </c>
      <c r="C73" s="93" t="s">
        <v>519</v>
      </c>
      <c r="D73" s="91" t="s">
        <v>520</v>
      </c>
      <c r="E73" s="91" t="s">
        <v>644</v>
      </c>
      <c r="F73" s="94"/>
    </row>
    <row r="74" spans="1:6">
      <c r="A74" s="97"/>
      <c r="B74" s="88">
        <v>161</v>
      </c>
      <c r="C74" s="93" t="s">
        <v>496</v>
      </c>
      <c r="D74" s="91" t="s">
        <v>521</v>
      </c>
      <c r="E74" s="91" t="s">
        <v>645</v>
      </c>
      <c r="F74" s="94"/>
    </row>
    <row r="75" spans="1:6">
      <c r="A75" s="97"/>
      <c r="B75" s="88">
        <v>162</v>
      </c>
      <c r="C75" s="93" t="s">
        <v>496</v>
      </c>
      <c r="D75" s="91" t="s">
        <v>522</v>
      </c>
      <c r="E75" s="91" t="s">
        <v>646</v>
      </c>
      <c r="F75" s="94"/>
    </row>
    <row r="76" spans="1:6">
      <c r="A76" s="97"/>
      <c r="B76" s="88">
        <v>163</v>
      </c>
      <c r="C76" s="93" t="s">
        <v>519</v>
      </c>
      <c r="D76" s="91" t="s">
        <v>504</v>
      </c>
      <c r="E76" s="91" t="s">
        <v>647</v>
      </c>
      <c r="F76" s="94"/>
    </row>
    <row r="77" spans="1:6">
      <c r="B77" s="88">
        <v>164</v>
      </c>
      <c r="D77" s="90" t="s">
        <v>102</v>
      </c>
      <c r="E77" s="90" t="s">
        <v>648</v>
      </c>
    </row>
    <row r="78" spans="1:6">
      <c r="B78" s="88">
        <v>165</v>
      </c>
      <c r="D78" s="90" t="s">
        <v>103</v>
      </c>
      <c r="E78" s="90" t="s">
        <v>649</v>
      </c>
    </row>
    <row r="79" spans="1:6">
      <c r="B79" s="88">
        <v>166</v>
      </c>
      <c r="D79" s="90" t="s">
        <v>523</v>
      </c>
      <c r="E79" s="90" t="s">
        <v>650</v>
      </c>
    </row>
    <row r="80" spans="1:6">
      <c r="B80" s="88">
        <v>167</v>
      </c>
      <c r="D80" s="90" t="s">
        <v>104</v>
      </c>
      <c r="E80" s="90" t="s">
        <v>651</v>
      </c>
    </row>
    <row r="81" spans="2:5">
      <c r="B81" s="88">
        <v>168</v>
      </c>
      <c r="D81" s="90" t="s">
        <v>105</v>
      </c>
      <c r="E81" s="90" t="s">
        <v>652</v>
      </c>
    </row>
    <row r="82" spans="2:5">
      <c r="B82" s="88">
        <v>169</v>
      </c>
      <c r="D82" s="90" t="s">
        <v>106</v>
      </c>
      <c r="E82" s="90" t="s">
        <v>1146</v>
      </c>
    </row>
    <row r="83" spans="2:5">
      <c r="B83" s="88">
        <v>170</v>
      </c>
      <c r="D83" s="90" t="s">
        <v>107</v>
      </c>
      <c r="E83" s="90" t="s">
        <v>653</v>
      </c>
    </row>
    <row r="84" spans="2:5" ht="26.4">
      <c r="B84" s="88">
        <v>171</v>
      </c>
      <c r="D84" s="90" t="s">
        <v>108</v>
      </c>
      <c r="E84" s="90" t="s">
        <v>578</v>
      </c>
    </row>
    <row r="85" spans="2:5">
      <c r="B85" s="88">
        <v>172</v>
      </c>
      <c r="D85" s="90" t="s">
        <v>109</v>
      </c>
      <c r="E85" s="90" t="s">
        <v>654</v>
      </c>
    </row>
    <row r="86" spans="2:5">
      <c r="B86" s="88">
        <v>173</v>
      </c>
      <c r="D86" s="90" t="s">
        <v>110</v>
      </c>
      <c r="E86" s="90" t="s">
        <v>655</v>
      </c>
    </row>
    <row r="87" spans="2:5">
      <c r="B87" s="88">
        <v>174</v>
      </c>
      <c r="D87" s="90" t="s">
        <v>111</v>
      </c>
      <c r="E87" s="90" t="s">
        <v>656</v>
      </c>
    </row>
    <row r="88" spans="2:5">
      <c r="B88" s="88">
        <v>175</v>
      </c>
      <c r="D88" s="90" t="s">
        <v>432</v>
      </c>
      <c r="E88" s="90" t="s">
        <v>657</v>
      </c>
    </row>
    <row r="89" spans="2:5">
      <c r="B89" s="88">
        <v>176</v>
      </c>
      <c r="D89" s="90" t="s">
        <v>112</v>
      </c>
      <c r="E89" s="90" t="s">
        <v>658</v>
      </c>
    </row>
    <row r="90" spans="2:5">
      <c r="B90" s="88">
        <v>177</v>
      </c>
      <c r="D90" s="90" t="s">
        <v>113</v>
      </c>
      <c r="E90" s="90" t="s">
        <v>659</v>
      </c>
    </row>
    <row r="91" spans="2:5">
      <c r="B91" s="88">
        <v>178</v>
      </c>
      <c r="D91" s="90" t="s">
        <v>114</v>
      </c>
      <c r="E91" s="90" t="s">
        <v>660</v>
      </c>
    </row>
    <row r="92" spans="2:5">
      <c r="B92" s="88">
        <v>179</v>
      </c>
      <c r="D92" s="90" t="s">
        <v>115</v>
      </c>
      <c r="E92" s="90" t="s">
        <v>661</v>
      </c>
    </row>
    <row r="93" spans="2:5">
      <c r="B93" s="88">
        <v>180</v>
      </c>
      <c r="D93" s="90" t="s">
        <v>116</v>
      </c>
      <c r="E93" s="90" t="s">
        <v>662</v>
      </c>
    </row>
    <row r="94" spans="2:5">
      <c r="B94" s="88">
        <v>181</v>
      </c>
      <c r="D94" s="90" t="s">
        <v>117</v>
      </c>
      <c r="E94" s="90" t="s">
        <v>663</v>
      </c>
    </row>
    <row r="95" spans="2:5">
      <c r="B95" s="88">
        <v>182</v>
      </c>
      <c r="D95" s="90" t="s">
        <v>118</v>
      </c>
      <c r="E95" s="90" t="s">
        <v>664</v>
      </c>
    </row>
    <row r="96" spans="2:5">
      <c r="B96" s="88">
        <v>183</v>
      </c>
      <c r="D96" s="90" t="s">
        <v>119</v>
      </c>
      <c r="E96" s="90" t="s">
        <v>665</v>
      </c>
    </row>
    <row r="97" spans="2:5">
      <c r="B97" s="88">
        <v>184</v>
      </c>
      <c r="D97" s="90" t="s">
        <v>433</v>
      </c>
      <c r="E97" s="90" t="s">
        <v>666</v>
      </c>
    </row>
    <row r="98" spans="2:5" ht="26.4">
      <c r="B98" s="88">
        <v>185</v>
      </c>
      <c r="D98" s="90" t="s">
        <v>434</v>
      </c>
      <c r="E98" s="90" t="s">
        <v>667</v>
      </c>
    </row>
    <row r="99" spans="2:5" ht="26.4">
      <c r="B99" s="88">
        <v>186</v>
      </c>
      <c r="D99" s="90" t="s">
        <v>120</v>
      </c>
      <c r="E99" s="90" t="s">
        <v>668</v>
      </c>
    </row>
    <row r="100" spans="2:5">
      <c r="B100" s="88">
        <v>187</v>
      </c>
      <c r="D100" s="90" t="s">
        <v>121</v>
      </c>
      <c r="E100" s="90" t="s">
        <v>122</v>
      </c>
    </row>
    <row r="101" spans="2:5">
      <c r="B101" s="88">
        <v>188</v>
      </c>
      <c r="D101" s="90" t="s">
        <v>435</v>
      </c>
      <c r="E101" s="90" t="s">
        <v>669</v>
      </c>
    </row>
    <row r="102" spans="2:5">
      <c r="B102" s="88">
        <v>189</v>
      </c>
      <c r="D102" s="90" t="s">
        <v>436</v>
      </c>
      <c r="E102" s="90" t="s">
        <v>670</v>
      </c>
    </row>
    <row r="103" spans="2:5">
      <c r="B103" s="88">
        <v>190</v>
      </c>
      <c r="D103" s="90" t="s">
        <v>437</v>
      </c>
      <c r="E103" s="90" t="s">
        <v>531</v>
      </c>
    </row>
    <row r="104" spans="2:5">
      <c r="B104" s="88">
        <v>191</v>
      </c>
      <c r="D104" s="90" t="s">
        <v>123</v>
      </c>
      <c r="E104" s="90" t="s">
        <v>671</v>
      </c>
    </row>
    <row r="105" spans="2:5" ht="26.4">
      <c r="B105" s="88">
        <v>192</v>
      </c>
      <c r="D105" s="90" t="s">
        <v>124</v>
      </c>
      <c r="E105" s="90" t="s">
        <v>672</v>
      </c>
    </row>
    <row r="106" spans="2:5" ht="26.4">
      <c r="B106" s="88">
        <v>193</v>
      </c>
      <c r="D106" s="90" t="s">
        <v>125</v>
      </c>
      <c r="E106" s="90" t="s">
        <v>673</v>
      </c>
    </row>
    <row r="107" spans="2:5">
      <c r="B107" s="88">
        <v>194</v>
      </c>
      <c r="D107" s="90" t="s">
        <v>126</v>
      </c>
      <c r="E107" s="90" t="s">
        <v>126</v>
      </c>
    </row>
    <row r="108" spans="2:5">
      <c r="B108" s="88">
        <v>195</v>
      </c>
      <c r="D108" s="90" t="s">
        <v>127</v>
      </c>
      <c r="E108" s="90" t="s">
        <v>674</v>
      </c>
    </row>
    <row r="109" spans="2:5">
      <c r="B109" s="88">
        <v>196</v>
      </c>
      <c r="D109" s="90" t="s">
        <v>128</v>
      </c>
      <c r="E109" s="90" t="s">
        <v>575</v>
      </c>
    </row>
    <row r="110" spans="2:5">
      <c r="B110" s="88">
        <v>197</v>
      </c>
      <c r="D110" s="90" t="s">
        <v>129</v>
      </c>
      <c r="E110" s="90" t="s">
        <v>1025</v>
      </c>
    </row>
    <row r="111" spans="2:5">
      <c r="B111" s="88">
        <v>198</v>
      </c>
      <c r="D111" s="90" t="s">
        <v>438</v>
      </c>
      <c r="E111" s="90" t="s">
        <v>675</v>
      </c>
    </row>
    <row r="112" spans="2:5">
      <c r="B112" s="88">
        <v>199</v>
      </c>
      <c r="D112" s="90" t="s">
        <v>130</v>
      </c>
      <c r="E112" s="90" t="s">
        <v>676</v>
      </c>
    </row>
    <row r="113" spans="2:5">
      <c r="B113" s="88">
        <v>200</v>
      </c>
      <c r="D113" s="90" t="s">
        <v>439</v>
      </c>
      <c r="E113" s="90" t="s">
        <v>677</v>
      </c>
    </row>
    <row r="114" spans="2:5">
      <c r="B114" s="88">
        <v>201</v>
      </c>
      <c r="D114" s="90" t="s">
        <v>131</v>
      </c>
      <c r="E114" s="90" t="s">
        <v>678</v>
      </c>
    </row>
    <row r="115" spans="2:5">
      <c r="B115" s="88">
        <v>202</v>
      </c>
      <c r="D115" s="90" t="s">
        <v>132</v>
      </c>
      <c r="E115" s="90" t="s">
        <v>679</v>
      </c>
    </row>
    <row r="116" spans="2:5">
      <c r="B116" s="88">
        <v>203</v>
      </c>
      <c r="D116" s="90" t="s">
        <v>133</v>
      </c>
      <c r="E116" s="90" t="s">
        <v>680</v>
      </c>
    </row>
    <row r="117" spans="2:5">
      <c r="B117" s="88">
        <v>204</v>
      </c>
      <c r="D117" s="90" t="s">
        <v>440</v>
      </c>
      <c r="E117" s="90" t="s">
        <v>681</v>
      </c>
    </row>
    <row r="118" spans="2:5">
      <c r="B118" s="88">
        <v>205</v>
      </c>
      <c r="D118" s="90" t="s">
        <v>134</v>
      </c>
      <c r="E118" s="90" t="s">
        <v>682</v>
      </c>
    </row>
    <row r="119" spans="2:5">
      <c r="B119" s="88">
        <v>206</v>
      </c>
      <c r="D119" s="90" t="s">
        <v>135</v>
      </c>
      <c r="E119" s="90" t="s">
        <v>683</v>
      </c>
    </row>
    <row r="120" spans="2:5">
      <c r="B120" s="88">
        <v>207</v>
      </c>
      <c r="D120" s="90" t="s">
        <v>136</v>
      </c>
      <c r="E120" s="90" t="s">
        <v>684</v>
      </c>
    </row>
    <row r="121" spans="2:5">
      <c r="B121" s="88">
        <v>208</v>
      </c>
      <c r="D121" s="90" t="s">
        <v>441</v>
      </c>
      <c r="E121" s="90" t="s">
        <v>685</v>
      </c>
    </row>
    <row r="122" spans="2:5">
      <c r="B122" s="88">
        <v>209</v>
      </c>
      <c r="D122" s="90" t="s">
        <v>442</v>
      </c>
      <c r="E122" s="90" t="s">
        <v>686</v>
      </c>
    </row>
    <row r="123" spans="2:5">
      <c r="B123" s="88">
        <v>210</v>
      </c>
      <c r="D123" s="90" t="s">
        <v>443</v>
      </c>
      <c r="E123" s="90" t="s">
        <v>687</v>
      </c>
    </row>
    <row r="124" spans="2:5">
      <c r="B124" s="88">
        <v>211</v>
      </c>
      <c r="D124" s="90" t="s">
        <v>444</v>
      </c>
      <c r="E124" s="90" t="s">
        <v>688</v>
      </c>
    </row>
    <row r="125" spans="2:5">
      <c r="B125" s="88">
        <v>212</v>
      </c>
      <c r="D125" s="90" t="s">
        <v>445</v>
      </c>
      <c r="E125" s="90" t="s">
        <v>689</v>
      </c>
    </row>
    <row r="126" spans="2:5">
      <c r="B126" s="88">
        <v>213</v>
      </c>
      <c r="D126" s="90" t="s">
        <v>137</v>
      </c>
      <c r="E126" s="90" t="s">
        <v>574</v>
      </c>
    </row>
    <row r="127" spans="2:5">
      <c r="B127" s="88">
        <v>214</v>
      </c>
      <c r="D127" s="90" t="s">
        <v>446</v>
      </c>
      <c r="E127" s="90" t="s">
        <v>690</v>
      </c>
    </row>
    <row r="128" spans="2:5">
      <c r="B128" s="88">
        <v>215</v>
      </c>
      <c r="D128" s="90" t="s">
        <v>138</v>
      </c>
      <c r="E128" s="90" t="s">
        <v>541</v>
      </c>
    </row>
    <row r="129" spans="2:5">
      <c r="B129" s="88">
        <v>216</v>
      </c>
      <c r="D129" s="90" t="s">
        <v>139</v>
      </c>
      <c r="E129" s="90" t="s">
        <v>691</v>
      </c>
    </row>
    <row r="130" spans="2:5">
      <c r="B130" s="88">
        <v>217</v>
      </c>
      <c r="D130" s="90" t="s">
        <v>140</v>
      </c>
      <c r="E130" s="90" t="s">
        <v>692</v>
      </c>
    </row>
    <row r="131" spans="2:5">
      <c r="B131" s="88">
        <v>218</v>
      </c>
      <c r="D131" s="90" t="s">
        <v>447</v>
      </c>
      <c r="E131" s="90" t="s">
        <v>693</v>
      </c>
    </row>
    <row r="132" spans="2:5">
      <c r="B132" s="88">
        <v>219</v>
      </c>
      <c r="D132" s="90" t="s">
        <v>448</v>
      </c>
      <c r="E132" s="90" t="s">
        <v>694</v>
      </c>
    </row>
    <row r="133" spans="2:5">
      <c r="B133" s="88">
        <v>220</v>
      </c>
      <c r="D133" s="90" t="s">
        <v>538</v>
      </c>
      <c r="E133" s="90" t="s">
        <v>695</v>
      </c>
    </row>
    <row r="134" spans="2:5">
      <c r="B134" s="88">
        <v>221</v>
      </c>
      <c r="D134" s="90" t="s">
        <v>449</v>
      </c>
      <c r="E134" s="90" t="s">
        <v>696</v>
      </c>
    </row>
    <row r="135" spans="2:5">
      <c r="B135" s="88">
        <v>222</v>
      </c>
      <c r="D135" s="90" t="s">
        <v>450</v>
      </c>
      <c r="E135" s="90" t="s">
        <v>697</v>
      </c>
    </row>
    <row r="136" spans="2:5">
      <c r="B136" s="88">
        <v>223</v>
      </c>
      <c r="D136" s="90" t="s">
        <v>451</v>
      </c>
      <c r="E136" s="90" t="s">
        <v>698</v>
      </c>
    </row>
    <row r="137" spans="2:5">
      <c r="B137" s="88">
        <v>224</v>
      </c>
      <c r="D137" s="90" t="s">
        <v>452</v>
      </c>
      <c r="E137" s="90" t="s">
        <v>699</v>
      </c>
    </row>
    <row r="138" spans="2:5">
      <c r="B138" s="88">
        <v>225</v>
      </c>
      <c r="D138" s="90" t="s">
        <v>1271</v>
      </c>
      <c r="E138" s="90" t="s">
        <v>551</v>
      </c>
    </row>
    <row r="139" spans="2:5">
      <c r="B139" s="88">
        <v>226</v>
      </c>
      <c r="D139" s="90" t="s">
        <v>141</v>
      </c>
      <c r="E139" s="90" t="s">
        <v>700</v>
      </c>
    </row>
    <row r="140" spans="2:5">
      <c r="B140" s="88">
        <v>227</v>
      </c>
      <c r="D140" s="90" t="s">
        <v>142</v>
      </c>
      <c r="E140" s="90" t="s">
        <v>701</v>
      </c>
    </row>
    <row r="141" spans="2:5">
      <c r="B141" s="88">
        <v>228</v>
      </c>
      <c r="D141" s="90" t="s">
        <v>143</v>
      </c>
      <c r="E141" s="90" t="s">
        <v>702</v>
      </c>
    </row>
    <row r="142" spans="2:5">
      <c r="B142" s="88">
        <v>229</v>
      </c>
      <c r="D142" s="90" t="s">
        <v>144</v>
      </c>
      <c r="E142" s="90" t="s">
        <v>703</v>
      </c>
    </row>
    <row r="143" spans="2:5">
      <c r="B143" s="88">
        <v>230</v>
      </c>
      <c r="D143" s="90" t="s">
        <v>453</v>
      </c>
      <c r="E143" s="90" t="s">
        <v>704</v>
      </c>
    </row>
    <row r="144" spans="2:5">
      <c r="B144" s="88">
        <v>231</v>
      </c>
      <c r="D144" s="90" t="s">
        <v>454</v>
      </c>
      <c r="E144" s="90" t="s">
        <v>705</v>
      </c>
    </row>
    <row r="145" spans="2:5">
      <c r="B145" s="88">
        <v>232</v>
      </c>
      <c r="D145" s="90" t="s">
        <v>455</v>
      </c>
      <c r="E145" s="90" t="s">
        <v>706</v>
      </c>
    </row>
    <row r="146" spans="2:5">
      <c r="B146" s="88">
        <v>233</v>
      </c>
      <c r="D146" s="90" t="s">
        <v>145</v>
      </c>
      <c r="E146" s="90" t="s">
        <v>707</v>
      </c>
    </row>
    <row r="147" spans="2:5">
      <c r="B147" s="88">
        <v>234</v>
      </c>
      <c r="D147" s="90" t="s">
        <v>146</v>
      </c>
      <c r="E147" s="90" t="s">
        <v>708</v>
      </c>
    </row>
    <row r="148" spans="2:5">
      <c r="B148" s="88">
        <v>235</v>
      </c>
      <c r="D148" s="90" t="s">
        <v>456</v>
      </c>
      <c r="E148" s="90" t="s">
        <v>709</v>
      </c>
    </row>
    <row r="149" spans="2:5">
      <c r="B149" s="88">
        <v>236</v>
      </c>
      <c r="D149" s="90" t="s">
        <v>147</v>
      </c>
      <c r="E149" s="90" t="s">
        <v>710</v>
      </c>
    </row>
    <row r="150" spans="2:5" ht="39.6">
      <c r="B150" s="88">
        <v>237</v>
      </c>
      <c r="D150" s="90" t="s">
        <v>148</v>
      </c>
      <c r="E150" s="90" t="s">
        <v>711</v>
      </c>
    </row>
    <row r="151" spans="2:5">
      <c r="B151" s="88">
        <v>238</v>
      </c>
      <c r="D151" s="90" t="s">
        <v>149</v>
      </c>
      <c r="E151" s="90" t="s">
        <v>712</v>
      </c>
    </row>
    <row r="152" spans="2:5">
      <c r="B152" s="88">
        <v>239</v>
      </c>
      <c r="D152" s="90" t="s">
        <v>150</v>
      </c>
      <c r="E152" s="90" t="s">
        <v>713</v>
      </c>
    </row>
    <row r="153" spans="2:5">
      <c r="B153" s="88">
        <v>240</v>
      </c>
      <c r="D153" s="90" t="s">
        <v>151</v>
      </c>
      <c r="E153" s="90" t="s">
        <v>714</v>
      </c>
    </row>
    <row r="154" spans="2:5">
      <c r="B154" s="88">
        <v>241</v>
      </c>
      <c r="D154" s="90" t="s">
        <v>152</v>
      </c>
      <c r="E154" s="90" t="s">
        <v>715</v>
      </c>
    </row>
    <row r="155" spans="2:5">
      <c r="B155" s="88">
        <v>242</v>
      </c>
      <c r="D155" s="90" t="s">
        <v>153</v>
      </c>
      <c r="E155" s="90" t="s">
        <v>716</v>
      </c>
    </row>
    <row r="156" spans="2:5">
      <c r="B156" s="88">
        <v>243</v>
      </c>
      <c r="D156" s="90" t="s">
        <v>154</v>
      </c>
      <c r="E156" s="90" t="s">
        <v>717</v>
      </c>
    </row>
    <row r="157" spans="2:5">
      <c r="B157" s="88">
        <v>244</v>
      </c>
      <c r="D157" s="90" t="s">
        <v>155</v>
      </c>
      <c r="E157" s="90" t="s">
        <v>718</v>
      </c>
    </row>
    <row r="158" spans="2:5">
      <c r="B158" s="88">
        <v>245</v>
      </c>
      <c r="D158" s="90" t="s">
        <v>156</v>
      </c>
      <c r="E158" s="90" t="s">
        <v>571</v>
      </c>
    </row>
    <row r="159" spans="2:5">
      <c r="B159" s="88">
        <v>246</v>
      </c>
      <c r="D159" s="90" t="s">
        <v>157</v>
      </c>
      <c r="E159" s="90" t="s">
        <v>719</v>
      </c>
    </row>
    <row r="160" spans="2:5">
      <c r="B160" s="88">
        <v>247</v>
      </c>
      <c r="D160" s="90" t="s">
        <v>158</v>
      </c>
      <c r="E160" s="90" t="s">
        <v>720</v>
      </c>
    </row>
    <row r="161" spans="2:5">
      <c r="B161" s="88">
        <v>248</v>
      </c>
      <c r="D161" s="90" t="s">
        <v>159</v>
      </c>
      <c r="E161" s="90" t="s">
        <v>721</v>
      </c>
    </row>
    <row r="162" spans="2:5">
      <c r="B162" s="88">
        <v>249</v>
      </c>
      <c r="D162" s="90" t="s">
        <v>160</v>
      </c>
      <c r="E162" s="90" t="s">
        <v>722</v>
      </c>
    </row>
    <row r="163" spans="2:5">
      <c r="B163" s="88">
        <v>250</v>
      </c>
      <c r="D163" s="90" t="s">
        <v>457</v>
      </c>
      <c r="E163" s="90" t="s">
        <v>723</v>
      </c>
    </row>
    <row r="164" spans="2:5">
      <c r="B164" s="88">
        <v>251</v>
      </c>
      <c r="D164" s="90" t="s">
        <v>161</v>
      </c>
      <c r="E164" s="90" t="s">
        <v>724</v>
      </c>
    </row>
    <row r="165" spans="2:5">
      <c r="B165" s="88">
        <v>252</v>
      </c>
      <c r="D165" s="90" t="s">
        <v>162</v>
      </c>
      <c r="E165" s="90" t="s">
        <v>725</v>
      </c>
    </row>
    <row r="166" spans="2:5">
      <c r="B166" s="88">
        <v>253</v>
      </c>
      <c r="D166" s="90" t="s">
        <v>163</v>
      </c>
      <c r="E166" s="90" t="s">
        <v>726</v>
      </c>
    </row>
    <row r="167" spans="2:5">
      <c r="B167" s="88">
        <v>254</v>
      </c>
      <c r="D167" s="90" t="s">
        <v>458</v>
      </c>
      <c r="E167" s="90" t="s">
        <v>727</v>
      </c>
    </row>
    <row r="168" spans="2:5">
      <c r="B168" s="88">
        <v>255</v>
      </c>
      <c r="D168" s="90" t="s">
        <v>459</v>
      </c>
      <c r="E168" s="90" t="s">
        <v>728</v>
      </c>
    </row>
    <row r="169" spans="2:5">
      <c r="B169" s="88">
        <v>256</v>
      </c>
      <c r="D169" s="90" t="s">
        <v>460</v>
      </c>
      <c r="E169" s="90" t="s">
        <v>729</v>
      </c>
    </row>
    <row r="170" spans="2:5">
      <c r="B170" s="88">
        <v>257</v>
      </c>
      <c r="D170" s="90" t="s">
        <v>548</v>
      </c>
      <c r="E170" s="90" t="s">
        <v>730</v>
      </c>
    </row>
    <row r="171" spans="2:5">
      <c r="B171" s="88">
        <v>258</v>
      </c>
      <c r="D171" s="90" t="s">
        <v>164</v>
      </c>
      <c r="E171" s="90" t="s">
        <v>731</v>
      </c>
    </row>
    <row r="172" spans="2:5" ht="26.4">
      <c r="B172" s="88">
        <v>259</v>
      </c>
      <c r="D172" s="90" t="s">
        <v>165</v>
      </c>
      <c r="E172" s="90" t="s">
        <v>732</v>
      </c>
    </row>
    <row r="173" spans="2:5" ht="26.4">
      <c r="B173" s="88">
        <v>260</v>
      </c>
      <c r="D173" s="90" t="s">
        <v>166</v>
      </c>
      <c r="E173" s="90" t="s">
        <v>733</v>
      </c>
    </row>
    <row r="174" spans="2:5" ht="26.4">
      <c r="B174" s="88">
        <v>261</v>
      </c>
      <c r="D174" s="90" t="s">
        <v>167</v>
      </c>
      <c r="E174" s="90" t="s">
        <v>734</v>
      </c>
    </row>
    <row r="175" spans="2:5">
      <c r="B175" s="88">
        <v>262</v>
      </c>
      <c r="D175" s="90" t="s">
        <v>168</v>
      </c>
      <c r="E175" s="90" t="s">
        <v>735</v>
      </c>
    </row>
    <row r="176" spans="2:5">
      <c r="B176" s="88">
        <v>263</v>
      </c>
      <c r="D176" s="90" t="s">
        <v>169</v>
      </c>
      <c r="E176" s="90" t="s">
        <v>736</v>
      </c>
    </row>
    <row r="177" spans="2:5">
      <c r="B177" s="88">
        <v>264</v>
      </c>
      <c r="D177" s="90" t="s">
        <v>170</v>
      </c>
      <c r="E177" s="90" t="s">
        <v>737</v>
      </c>
    </row>
    <row r="178" spans="2:5">
      <c r="B178" s="88">
        <v>265</v>
      </c>
      <c r="D178" s="90" t="s">
        <v>171</v>
      </c>
      <c r="E178" s="90" t="s">
        <v>738</v>
      </c>
    </row>
    <row r="179" spans="2:5">
      <c r="B179" s="88">
        <v>266</v>
      </c>
      <c r="D179" s="90" t="s">
        <v>172</v>
      </c>
      <c r="E179" s="90" t="s">
        <v>739</v>
      </c>
    </row>
    <row r="180" spans="2:5" ht="26.4">
      <c r="B180" s="88">
        <v>267</v>
      </c>
      <c r="D180" s="90" t="s">
        <v>173</v>
      </c>
      <c r="E180" s="90" t="s">
        <v>740</v>
      </c>
    </row>
    <row r="181" spans="2:5">
      <c r="B181" s="88">
        <v>268</v>
      </c>
      <c r="D181" s="90" t="s">
        <v>174</v>
      </c>
      <c r="E181" s="90" t="s">
        <v>741</v>
      </c>
    </row>
    <row r="182" spans="2:5">
      <c r="B182" s="88">
        <v>269</v>
      </c>
      <c r="D182" s="90" t="s">
        <v>175</v>
      </c>
      <c r="E182" s="90" t="s">
        <v>742</v>
      </c>
    </row>
    <row r="183" spans="2:5">
      <c r="B183" s="88">
        <v>270</v>
      </c>
      <c r="D183" s="90" t="s">
        <v>176</v>
      </c>
      <c r="E183" s="90" t="s">
        <v>743</v>
      </c>
    </row>
    <row r="184" spans="2:5">
      <c r="B184" s="88">
        <v>271</v>
      </c>
      <c r="D184" s="90" t="s">
        <v>177</v>
      </c>
      <c r="E184" s="90" t="s">
        <v>744</v>
      </c>
    </row>
    <row r="185" spans="2:5">
      <c r="B185" s="88">
        <v>272</v>
      </c>
      <c r="D185" s="90" t="s">
        <v>178</v>
      </c>
      <c r="E185" s="90" t="s">
        <v>745</v>
      </c>
    </row>
    <row r="186" spans="2:5">
      <c r="B186" s="88">
        <v>273</v>
      </c>
      <c r="D186" s="90" t="s">
        <v>179</v>
      </c>
      <c r="E186" s="90" t="s">
        <v>746</v>
      </c>
    </row>
    <row r="187" spans="2:5">
      <c r="B187" s="88">
        <v>274</v>
      </c>
      <c r="D187" s="90" t="s">
        <v>461</v>
      </c>
      <c r="E187" s="90" t="s">
        <v>747</v>
      </c>
    </row>
    <row r="188" spans="2:5">
      <c r="B188" s="88">
        <v>275</v>
      </c>
      <c r="D188" s="90" t="s">
        <v>180</v>
      </c>
      <c r="E188" s="90" t="s">
        <v>748</v>
      </c>
    </row>
    <row r="189" spans="2:5">
      <c r="B189" s="88">
        <v>276</v>
      </c>
      <c r="D189" s="90" t="s">
        <v>462</v>
      </c>
      <c r="E189" s="90" t="s">
        <v>749</v>
      </c>
    </row>
    <row r="190" spans="2:5" ht="26.4">
      <c r="B190" s="88">
        <v>277</v>
      </c>
      <c r="D190" s="90" t="s">
        <v>181</v>
      </c>
    </row>
    <row r="191" spans="2:5">
      <c r="B191" s="88">
        <v>278</v>
      </c>
      <c r="D191" s="90" t="s">
        <v>182</v>
      </c>
      <c r="E191" s="90" t="s">
        <v>750</v>
      </c>
    </row>
    <row r="192" spans="2:5">
      <c r="B192" s="88">
        <v>279</v>
      </c>
      <c r="D192" s="90" t="s">
        <v>183</v>
      </c>
      <c r="E192" s="90" t="s">
        <v>751</v>
      </c>
    </row>
    <row r="193" spans="2:5">
      <c r="B193" s="88">
        <v>280</v>
      </c>
      <c r="D193" s="90" t="s">
        <v>184</v>
      </c>
      <c r="E193" s="90" t="s">
        <v>752</v>
      </c>
    </row>
    <row r="194" spans="2:5">
      <c r="B194" s="88">
        <v>281</v>
      </c>
      <c r="D194" s="90" t="s">
        <v>185</v>
      </c>
      <c r="E194" s="90" t="s">
        <v>753</v>
      </c>
    </row>
    <row r="195" spans="2:5">
      <c r="B195" s="88">
        <v>282</v>
      </c>
      <c r="D195" s="90" t="s">
        <v>463</v>
      </c>
      <c r="E195" s="90" t="s">
        <v>754</v>
      </c>
    </row>
    <row r="196" spans="2:5">
      <c r="B196" s="88">
        <v>283</v>
      </c>
      <c r="D196" s="90" t="s">
        <v>186</v>
      </c>
      <c r="E196" s="90" t="s">
        <v>755</v>
      </c>
    </row>
    <row r="197" spans="2:5">
      <c r="B197" s="88">
        <v>284</v>
      </c>
      <c r="D197" s="90" t="s">
        <v>187</v>
      </c>
      <c r="E197" s="90" t="s">
        <v>756</v>
      </c>
    </row>
    <row r="198" spans="2:5">
      <c r="B198" s="88">
        <v>285</v>
      </c>
      <c r="D198" s="90" t="s">
        <v>1</v>
      </c>
      <c r="E198" s="90" t="s">
        <v>1</v>
      </c>
    </row>
    <row r="199" spans="2:5">
      <c r="B199" s="88">
        <v>286</v>
      </c>
      <c r="D199" s="90" t="s">
        <v>1056</v>
      </c>
      <c r="E199" s="90" t="s">
        <v>1057</v>
      </c>
    </row>
    <row r="200" spans="2:5">
      <c r="B200" s="88">
        <v>287</v>
      </c>
      <c r="D200" s="90" t="s">
        <v>1040</v>
      </c>
      <c r="E200" s="90" t="s">
        <v>1041</v>
      </c>
    </row>
    <row r="201" spans="2:5">
      <c r="B201" s="88">
        <v>288</v>
      </c>
      <c r="D201" s="90" t="s">
        <v>2</v>
      </c>
      <c r="E201" s="90" t="s">
        <v>2</v>
      </c>
    </row>
    <row r="202" spans="2:5">
      <c r="B202" s="88">
        <v>289</v>
      </c>
      <c r="D202" s="90" t="s">
        <v>188</v>
      </c>
      <c r="E202" s="90" t="s">
        <v>189</v>
      </c>
    </row>
    <row r="203" spans="2:5">
      <c r="B203" s="88">
        <v>290</v>
      </c>
      <c r="D203" s="90" t="s">
        <v>190</v>
      </c>
      <c r="E203" s="90" t="s">
        <v>524</v>
      </c>
    </row>
    <row r="204" spans="2:5">
      <c r="B204" s="88">
        <v>291</v>
      </c>
      <c r="D204" s="90" t="s">
        <v>191</v>
      </c>
      <c r="E204" s="90" t="s">
        <v>757</v>
      </c>
    </row>
    <row r="205" spans="2:5">
      <c r="B205" s="88">
        <v>292</v>
      </c>
      <c r="D205" s="90" t="s">
        <v>192</v>
      </c>
      <c r="E205" s="90" t="s">
        <v>758</v>
      </c>
    </row>
    <row r="206" spans="2:5">
      <c r="B206" s="88">
        <v>293</v>
      </c>
      <c r="D206" s="90" t="s">
        <v>464</v>
      </c>
      <c r="E206" s="90" t="s">
        <v>759</v>
      </c>
    </row>
    <row r="207" spans="2:5">
      <c r="B207" s="88">
        <v>294</v>
      </c>
      <c r="D207" s="90" t="s">
        <v>465</v>
      </c>
      <c r="E207" s="90" t="s">
        <v>760</v>
      </c>
    </row>
    <row r="208" spans="2:5">
      <c r="B208" s="88">
        <v>295</v>
      </c>
      <c r="D208" s="90" t="s">
        <v>466</v>
      </c>
      <c r="E208" s="90" t="s">
        <v>759</v>
      </c>
    </row>
    <row r="209" spans="2:5">
      <c r="B209" s="88">
        <v>296</v>
      </c>
      <c r="D209" s="90" t="s">
        <v>193</v>
      </c>
      <c r="E209" s="90" t="s">
        <v>761</v>
      </c>
    </row>
    <row r="210" spans="2:5">
      <c r="B210" s="88">
        <v>297</v>
      </c>
      <c r="D210" s="90" t="s">
        <v>467</v>
      </c>
      <c r="E210" s="90" t="s">
        <v>762</v>
      </c>
    </row>
    <row r="211" spans="2:5">
      <c r="B211" s="88">
        <v>298</v>
      </c>
      <c r="D211" s="90" t="s">
        <v>194</v>
      </c>
      <c r="E211" s="90" t="s">
        <v>763</v>
      </c>
    </row>
    <row r="212" spans="2:5">
      <c r="B212" s="88">
        <v>299</v>
      </c>
      <c r="D212" s="90" t="s">
        <v>497</v>
      </c>
      <c r="E212" s="90" t="s">
        <v>764</v>
      </c>
    </row>
    <row r="213" spans="2:5">
      <c r="B213" s="88">
        <v>300</v>
      </c>
      <c r="D213" s="90" t="s">
        <v>498</v>
      </c>
      <c r="E213" s="90" t="s">
        <v>765</v>
      </c>
    </row>
    <row r="214" spans="2:5">
      <c r="B214" s="88">
        <v>301</v>
      </c>
      <c r="D214" s="90" t="s">
        <v>195</v>
      </c>
      <c r="E214" s="90" t="s">
        <v>766</v>
      </c>
    </row>
    <row r="215" spans="2:5">
      <c r="B215" s="88">
        <v>302</v>
      </c>
      <c r="D215" s="90" t="s">
        <v>468</v>
      </c>
      <c r="E215" s="90" t="s">
        <v>767</v>
      </c>
    </row>
    <row r="216" spans="2:5">
      <c r="B216" s="88">
        <v>303</v>
      </c>
      <c r="D216" s="90" t="s">
        <v>196</v>
      </c>
      <c r="E216" s="90" t="s">
        <v>768</v>
      </c>
    </row>
    <row r="217" spans="2:5">
      <c r="B217" s="88">
        <v>304</v>
      </c>
      <c r="D217" s="90" t="s">
        <v>197</v>
      </c>
      <c r="E217" s="90" t="s">
        <v>769</v>
      </c>
    </row>
    <row r="218" spans="2:5">
      <c r="B218" s="88">
        <v>305</v>
      </c>
      <c r="D218" s="90" t="s">
        <v>198</v>
      </c>
      <c r="E218" s="90" t="s">
        <v>539</v>
      </c>
    </row>
    <row r="219" spans="2:5" ht="26.4">
      <c r="B219" s="88">
        <v>306</v>
      </c>
      <c r="D219" s="90" t="s">
        <v>199</v>
      </c>
      <c r="E219" s="90" t="s">
        <v>770</v>
      </c>
    </row>
    <row r="220" spans="2:5" ht="26.4">
      <c r="B220" s="88">
        <v>307</v>
      </c>
      <c r="D220" s="90" t="s">
        <v>499</v>
      </c>
      <c r="E220" s="90" t="s">
        <v>771</v>
      </c>
    </row>
    <row r="221" spans="2:5">
      <c r="B221" s="88">
        <v>308</v>
      </c>
      <c r="D221" s="90" t="s">
        <v>500</v>
      </c>
      <c r="E221" s="90" t="s">
        <v>772</v>
      </c>
    </row>
    <row r="222" spans="2:5">
      <c r="B222" s="88">
        <v>309</v>
      </c>
      <c r="D222" s="90" t="s">
        <v>469</v>
      </c>
      <c r="E222" s="90" t="s">
        <v>773</v>
      </c>
    </row>
    <row r="223" spans="2:5">
      <c r="B223" s="88">
        <v>310</v>
      </c>
      <c r="D223" s="90" t="s">
        <v>200</v>
      </c>
      <c r="E223" s="90" t="s">
        <v>774</v>
      </c>
    </row>
    <row r="224" spans="2:5">
      <c r="B224" s="88">
        <v>311</v>
      </c>
      <c r="D224" s="90" t="s">
        <v>470</v>
      </c>
      <c r="E224" s="90" t="s">
        <v>775</v>
      </c>
    </row>
    <row r="225" spans="2:5">
      <c r="B225" s="88">
        <v>312</v>
      </c>
      <c r="D225" s="90" t="s">
        <v>471</v>
      </c>
      <c r="E225" s="90" t="s">
        <v>776</v>
      </c>
    </row>
    <row r="226" spans="2:5">
      <c r="B226" s="88">
        <v>313</v>
      </c>
      <c r="D226" s="90" t="s">
        <v>201</v>
      </c>
      <c r="E226" s="90" t="s">
        <v>777</v>
      </c>
    </row>
    <row r="227" spans="2:5">
      <c r="B227" s="88">
        <v>314</v>
      </c>
      <c r="D227" s="90" t="s">
        <v>202</v>
      </c>
      <c r="E227" s="90" t="s">
        <v>778</v>
      </c>
    </row>
    <row r="228" spans="2:5">
      <c r="B228" s="88">
        <v>315</v>
      </c>
      <c r="D228" s="90" t="s">
        <v>472</v>
      </c>
      <c r="E228" s="90" t="s">
        <v>779</v>
      </c>
    </row>
    <row r="229" spans="2:5">
      <c r="B229" s="88">
        <v>316</v>
      </c>
      <c r="D229" s="90" t="s">
        <v>1089</v>
      </c>
      <c r="E229" s="90" t="s">
        <v>1090</v>
      </c>
    </row>
    <row r="230" spans="2:5">
      <c r="B230" s="88">
        <v>317</v>
      </c>
      <c r="D230" s="90" t="s">
        <v>1084</v>
      </c>
      <c r="E230" s="90" t="s">
        <v>1086</v>
      </c>
    </row>
    <row r="231" spans="2:5" ht="26.4">
      <c r="B231" s="88">
        <v>318</v>
      </c>
      <c r="D231" s="90" t="s">
        <v>1085</v>
      </c>
      <c r="E231" s="90" t="s">
        <v>1087</v>
      </c>
    </row>
    <row r="232" spans="2:5">
      <c r="B232" s="88">
        <v>319</v>
      </c>
      <c r="D232" s="90" t="s">
        <v>203</v>
      </c>
      <c r="E232" s="90" t="s">
        <v>780</v>
      </c>
    </row>
    <row r="233" spans="2:5">
      <c r="B233" s="88">
        <v>320</v>
      </c>
      <c r="C233" s="89" t="s">
        <v>515</v>
      </c>
      <c r="D233" s="90" t="s">
        <v>525</v>
      </c>
      <c r="E233" s="90" t="s">
        <v>526</v>
      </c>
    </row>
    <row r="234" spans="2:5">
      <c r="B234" s="88">
        <v>321</v>
      </c>
      <c r="D234" s="90" t="s">
        <v>204</v>
      </c>
      <c r="E234" s="90" t="s">
        <v>781</v>
      </c>
    </row>
    <row r="235" spans="2:5">
      <c r="B235" s="88">
        <v>322</v>
      </c>
      <c r="D235" s="90" t="s">
        <v>205</v>
      </c>
      <c r="E235" s="90" t="s">
        <v>782</v>
      </c>
    </row>
    <row r="236" spans="2:5">
      <c r="B236" s="88">
        <v>323</v>
      </c>
      <c r="D236" s="90" t="s">
        <v>206</v>
      </c>
      <c r="E236" s="90" t="s">
        <v>783</v>
      </c>
    </row>
    <row r="237" spans="2:5">
      <c r="B237" s="88">
        <v>324</v>
      </c>
      <c r="D237" s="90" t="s">
        <v>207</v>
      </c>
      <c r="E237" s="90" t="s">
        <v>784</v>
      </c>
    </row>
    <row r="238" spans="2:5">
      <c r="B238" s="88">
        <v>325</v>
      </c>
      <c r="D238" s="90" t="s">
        <v>208</v>
      </c>
      <c r="E238" s="90" t="s">
        <v>785</v>
      </c>
    </row>
    <row r="239" spans="2:5">
      <c r="B239" s="88">
        <v>326</v>
      </c>
      <c r="D239" s="90" t="s">
        <v>1042</v>
      </c>
      <c r="E239" s="90" t="s">
        <v>1043</v>
      </c>
    </row>
    <row r="240" spans="2:5">
      <c r="B240" s="88">
        <v>327</v>
      </c>
      <c r="D240" s="90" t="s">
        <v>1046</v>
      </c>
      <c r="E240" s="90" t="s">
        <v>1047</v>
      </c>
    </row>
    <row r="241" spans="1:6">
      <c r="B241" s="88">
        <v>328</v>
      </c>
      <c r="D241" s="90" t="s">
        <v>1073</v>
      </c>
      <c r="E241" s="90" t="s">
        <v>1074</v>
      </c>
    </row>
    <row r="242" spans="1:6">
      <c r="B242" s="88">
        <v>329</v>
      </c>
      <c r="D242" s="90" t="s">
        <v>209</v>
      </c>
      <c r="E242" s="90" t="s">
        <v>786</v>
      </c>
    </row>
    <row r="243" spans="1:6" ht="39.6">
      <c r="B243" s="88">
        <v>330</v>
      </c>
      <c r="D243" s="90" t="s">
        <v>210</v>
      </c>
      <c r="E243" s="90" t="s">
        <v>787</v>
      </c>
    </row>
    <row r="244" spans="1:6">
      <c r="B244" s="88">
        <v>331</v>
      </c>
      <c r="D244" s="90" t="s">
        <v>211</v>
      </c>
      <c r="E244" s="90" t="s">
        <v>788</v>
      </c>
    </row>
    <row r="245" spans="1:6">
      <c r="B245" s="88">
        <v>332</v>
      </c>
      <c r="D245" s="90" t="s">
        <v>212</v>
      </c>
      <c r="E245" s="90" t="s">
        <v>789</v>
      </c>
    </row>
    <row r="246" spans="1:6">
      <c r="A246" s="92"/>
      <c r="B246" s="88">
        <v>333</v>
      </c>
      <c r="C246" s="93" t="s">
        <v>496</v>
      </c>
      <c r="D246" s="91" t="s">
        <v>527</v>
      </c>
      <c r="E246" s="91" t="s">
        <v>542</v>
      </c>
      <c r="F246" s="94"/>
    </row>
    <row r="247" spans="1:6">
      <c r="A247" s="92"/>
      <c r="B247" s="88">
        <v>334</v>
      </c>
      <c r="C247" s="93" t="s">
        <v>496</v>
      </c>
      <c r="D247" s="91" t="s">
        <v>528</v>
      </c>
      <c r="E247" s="91" t="s">
        <v>790</v>
      </c>
      <c r="F247" s="94"/>
    </row>
    <row r="248" spans="1:6">
      <c r="A248" s="92"/>
      <c r="B248" s="88">
        <v>335</v>
      </c>
      <c r="C248" s="93" t="s">
        <v>513</v>
      </c>
      <c r="D248" s="91" t="s">
        <v>529</v>
      </c>
      <c r="E248" s="91" t="s">
        <v>791</v>
      </c>
      <c r="F248" s="94"/>
    </row>
    <row r="249" spans="1:6">
      <c r="B249" s="88">
        <v>336</v>
      </c>
      <c r="D249" s="90" t="s">
        <v>213</v>
      </c>
      <c r="E249" s="90" t="s">
        <v>542</v>
      </c>
    </row>
    <row r="250" spans="1:6">
      <c r="B250" s="88">
        <v>337</v>
      </c>
      <c r="D250" s="90" t="s">
        <v>214</v>
      </c>
      <c r="E250" s="91" t="s">
        <v>792</v>
      </c>
    </row>
    <row r="251" spans="1:6">
      <c r="B251" s="88">
        <v>338</v>
      </c>
      <c r="D251" s="90" t="s">
        <v>215</v>
      </c>
      <c r="E251" s="90" t="s">
        <v>793</v>
      </c>
    </row>
    <row r="252" spans="1:6">
      <c r="B252" s="88">
        <v>339</v>
      </c>
      <c r="D252" s="90" t="s">
        <v>216</v>
      </c>
      <c r="E252" s="90" t="s">
        <v>794</v>
      </c>
    </row>
    <row r="253" spans="1:6">
      <c r="B253" s="88">
        <v>340</v>
      </c>
      <c r="D253" s="90" t="s">
        <v>217</v>
      </c>
      <c r="E253" s="90" t="s">
        <v>795</v>
      </c>
    </row>
    <row r="254" spans="1:6">
      <c r="B254" s="88">
        <v>341</v>
      </c>
      <c r="D254" s="90" t="s">
        <v>218</v>
      </c>
      <c r="E254" s="90" t="s">
        <v>796</v>
      </c>
    </row>
    <row r="255" spans="1:6">
      <c r="B255" s="88">
        <v>342</v>
      </c>
      <c r="D255" s="90" t="s">
        <v>219</v>
      </c>
      <c r="E255" s="90" t="s">
        <v>797</v>
      </c>
    </row>
    <row r="256" spans="1:6">
      <c r="B256" s="88">
        <v>343</v>
      </c>
      <c r="D256" s="90" t="s">
        <v>220</v>
      </c>
      <c r="E256" s="90" t="s">
        <v>798</v>
      </c>
    </row>
    <row r="257" spans="2:5">
      <c r="B257" s="88">
        <v>344</v>
      </c>
      <c r="D257" s="90" t="s">
        <v>221</v>
      </c>
      <c r="E257" s="90" t="s">
        <v>799</v>
      </c>
    </row>
    <row r="258" spans="2:5">
      <c r="B258" s="88">
        <v>345</v>
      </c>
      <c r="D258" s="90" t="s">
        <v>222</v>
      </c>
      <c r="E258" s="90" t="s">
        <v>800</v>
      </c>
    </row>
    <row r="259" spans="2:5">
      <c r="B259" s="88">
        <v>346</v>
      </c>
      <c r="D259" s="90" t="s">
        <v>223</v>
      </c>
      <c r="E259" s="90" t="s">
        <v>801</v>
      </c>
    </row>
    <row r="260" spans="2:5">
      <c r="B260" s="88">
        <v>347</v>
      </c>
      <c r="D260" s="90" t="s">
        <v>224</v>
      </c>
      <c r="E260" s="90" t="s">
        <v>802</v>
      </c>
    </row>
    <row r="261" spans="2:5">
      <c r="B261" s="88">
        <v>348</v>
      </c>
      <c r="D261" s="90" t="s">
        <v>225</v>
      </c>
      <c r="E261" s="90" t="s">
        <v>803</v>
      </c>
    </row>
    <row r="262" spans="2:5">
      <c r="B262" s="88">
        <v>349</v>
      </c>
      <c r="D262" s="90" t="s">
        <v>226</v>
      </c>
      <c r="E262" s="90" t="s">
        <v>804</v>
      </c>
    </row>
    <row r="263" spans="2:5">
      <c r="B263" s="88">
        <v>350</v>
      </c>
      <c r="D263" s="90" t="s">
        <v>227</v>
      </c>
      <c r="E263" s="90" t="s">
        <v>1027</v>
      </c>
    </row>
    <row r="264" spans="2:5">
      <c r="B264" s="88">
        <v>351</v>
      </c>
      <c r="D264" s="90" t="s">
        <v>228</v>
      </c>
      <c r="E264" s="90" t="s">
        <v>805</v>
      </c>
    </row>
    <row r="265" spans="2:5">
      <c r="B265" s="88">
        <v>352</v>
      </c>
      <c r="D265" s="90" t="s">
        <v>229</v>
      </c>
      <c r="E265" s="90" t="s">
        <v>806</v>
      </c>
    </row>
    <row r="266" spans="2:5">
      <c r="B266" s="88">
        <v>353</v>
      </c>
      <c r="D266" s="90" t="s">
        <v>230</v>
      </c>
      <c r="E266" s="90" t="s">
        <v>807</v>
      </c>
    </row>
    <row r="267" spans="2:5">
      <c r="B267" s="88">
        <v>354</v>
      </c>
      <c r="D267" s="90" t="s">
        <v>231</v>
      </c>
      <c r="E267" s="90" t="s">
        <v>1050</v>
      </c>
    </row>
    <row r="268" spans="2:5">
      <c r="B268" s="88">
        <v>355</v>
      </c>
      <c r="D268" s="90" t="s">
        <v>232</v>
      </c>
      <c r="E268" s="90" t="s">
        <v>1051</v>
      </c>
    </row>
    <row r="269" spans="2:5">
      <c r="B269" s="88">
        <v>356</v>
      </c>
      <c r="D269" s="90" t="s">
        <v>473</v>
      </c>
      <c r="E269" s="90" t="s">
        <v>473</v>
      </c>
    </row>
    <row r="270" spans="2:5">
      <c r="B270" s="88">
        <v>357</v>
      </c>
      <c r="D270" s="90" t="s">
        <v>233</v>
      </c>
      <c r="E270" s="90" t="s">
        <v>1028</v>
      </c>
    </row>
    <row r="271" spans="2:5" ht="26.4">
      <c r="B271" s="88">
        <v>358</v>
      </c>
      <c r="D271" s="90" t="s">
        <v>234</v>
      </c>
      <c r="E271" s="90" t="s">
        <v>808</v>
      </c>
    </row>
    <row r="272" spans="2:5">
      <c r="B272" s="88">
        <v>359</v>
      </c>
      <c r="D272" s="90" t="s">
        <v>235</v>
      </c>
      <c r="E272" s="90" t="s">
        <v>809</v>
      </c>
    </row>
    <row r="273" spans="2:5">
      <c r="B273" s="88">
        <v>360</v>
      </c>
      <c r="D273" s="90" t="s">
        <v>236</v>
      </c>
      <c r="E273" s="90" t="s">
        <v>810</v>
      </c>
    </row>
    <row r="274" spans="2:5">
      <c r="B274" s="88">
        <v>361</v>
      </c>
      <c r="D274" s="91" t="s">
        <v>530</v>
      </c>
      <c r="E274" s="90" t="s">
        <v>531</v>
      </c>
    </row>
    <row r="275" spans="2:5">
      <c r="B275" s="88">
        <v>362</v>
      </c>
      <c r="D275" s="90" t="s">
        <v>474</v>
      </c>
      <c r="E275" s="90" t="s">
        <v>811</v>
      </c>
    </row>
    <row r="276" spans="2:5">
      <c r="B276" s="88">
        <v>363</v>
      </c>
      <c r="D276" s="90" t="s">
        <v>237</v>
      </c>
      <c r="E276" s="90" t="s">
        <v>812</v>
      </c>
    </row>
    <row r="277" spans="2:5">
      <c r="B277" s="88">
        <v>364</v>
      </c>
      <c r="D277" s="90" t="s">
        <v>475</v>
      </c>
      <c r="E277" s="90" t="s">
        <v>978</v>
      </c>
    </row>
    <row r="278" spans="2:5">
      <c r="B278" s="88">
        <v>365</v>
      </c>
      <c r="D278" s="90" t="s">
        <v>238</v>
      </c>
      <c r="E278" s="90" t="s">
        <v>813</v>
      </c>
    </row>
    <row r="279" spans="2:5">
      <c r="B279" s="88">
        <v>366</v>
      </c>
      <c r="D279" s="90" t="s">
        <v>239</v>
      </c>
      <c r="E279" s="90" t="s">
        <v>814</v>
      </c>
    </row>
    <row r="280" spans="2:5">
      <c r="B280" s="88">
        <v>367</v>
      </c>
      <c r="D280" s="90" t="s">
        <v>240</v>
      </c>
      <c r="E280" s="90" t="s">
        <v>579</v>
      </c>
    </row>
    <row r="281" spans="2:5">
      <c r="B281" s="88">
        <v>368</v>
      </c>
      <c r="D281" s="90" t="s">
        <v>241</v>
      </c>
      <c r="E281" s="90" t="s">
        <v>815</v>
      </c>
    </row>
    <row r="282" spans="2:5">
      <c r="B282" s="88">
        <v>369</v>
      </c>
      <c r="D282" s="90" t="s">
        <v>242</v>
      </c>
      <c r="E282" s="90" t="s">
        <v>816</v>
      </c>
    </row>
    <row r="283" spans="2:5">
      <c r="B283" s="88">
        <v>370</v>
      </c>
      <c r="D283" s="90" t="s">
        <v>243</v>
      </c>
    </row>
    <row r="284" spans="2:5">
      <c r="B284" s="88">
        <v>371</v>
      </c>
      <c r="D284" s="90" t="s">
        <v>476</v>
      </c>
      <c r="E284" s="90" t="s">
        <v>817</v>
      </c>
    </row>
    <row r="285" spans="2:5" ht="26.4">
      <c r="B285" s="88">
        <v>372</v>
      </c>
      <c r="D285" s="90" t="s">
        <v>477</v>
      </c>
      <c r="E285" s="90" t="s">
        <v>818</v>
      </c>
    </row>
    <row r="286" spans="2:5" ht="26.4">
      <c r="B286" s="88">
        <v>373</v>
      </c>
      <c r="D286" s="90" t="s">
        <v>244</v>
      </c>
      <c r="E286" s="90" t="s">
        <v>819</v>
      </c>
    </row>
    <row r="287" spans="2:5">
      <c r="B287" s="88">
        <v>374</v>
      </c>
      <c r="D287" s="90" t="s">
        <v>245</v>
      </c>
      <c r="E287" s="90" t="s">
        <v>820</v>
      </c>
    </row>
    <row r="288" spans="2:5">
      <c r="B288" s="88">
        <v>375</v>
      </c>
      <c r="D288" s="90" t="s">
        <v>246</v>
      </c>
      <c r="E288" s="90" t="s">
        <v>821</v>
      </c>
    </row>
    <row r="289" spans="2:5">
      <c r="B289" s="88">
        <v>376</v>
      </c>
      <c r="D289" s="90" t="s">
        <v>247</v>
      </c>
      <c r="E289" s="90" t="s">
        <v>822</v>
      </c>
    </row>
    <row r="290" spans="2:5">
      <c r="B290" s="88">
        <v>377</v>
      </c>
      <c r="D290" s="90" t="s">
        <v>248</v>
      </c>
      <c r="E290" s="90" t="s">
        <v>823</v>
      </c>
    </row>
    <row r="291" spans="2:5">
      <c r="B291" s="88">
        <v>378</v>
      </c>
      <c r="D291" s="90" t="s">
        <v>249</v>
      </c>
      <c r="E291" s="90" t="s">
        <v>824</v>
      </c>
    </row>
    <row r="292" spans="2:5">
      <c r="B292" s="88">
        <v>379</v>
      </c>
      <c r="D292" s="90" t="s">
        <v>250</v>
      </c>
      <c r="E292" s="90" t="s">
        <v>825</v>
      </c>
    </row>
    <row r="293" spans="2:5">
      <c r="B293" s="88">
        <v>380</v>
      </c>
      <c r="D293" s="90" t="s">
        <v>251</v>
      </c>
      <c r="E293" s="90" t="s">
        <v>826</v>
      </c>
    </row>
    <row r="294" spans="2:5">
      <c r="B294" s="88">
        <v>381</v>
      </c>
      <c r="D294" s="90" t="s">
        <v>252</v>
      </c>
      <c r="E294" s="90" t="s">
        <v>570</v>
      </c>
    </row>
    <row r="295" spans="2:5">
      <c r="B295" s="88">
        <v>382</v>
      </c>
      <c r="D295" s="90" t="s">
        <v>253</v>
      </c>
      <c r="E295" s="90" t="s">
        <v>827</v>
      </c>
    </row>
    <row r="296" spans="2:5">
      <c r="B296" s="88">
        <v>383</v>
      </c>
      <c r="D296" s="90" t="s">
        <v>254</v>
      </c>
      <c r="E296" s="90" t="s">
        <v>828</v>
      </c>
    </row>
    <row r="297" spans="2:5">
      <c r="B297" s="88">
        <v>384</v>
      </c>
      <c r="D297" s="90" t="s">
        <v>255</v>
      </c>
      <c r="E297" s="90" t="s">
        <v>829</v>
      </c>
    </row>
    <row r="298" spans="2:5">
      <c r="B298" s="88">
        <v>385</v>
      </c>
      <c r="D298" s="90" t="s">
        <v>256</v>
      </c>
      <c r="E298" s="90" t="s">
        <v>830</v>
      </c>
    </row>
    <row r="299" spans="2:5">
      <c r="B299" s="88">
        <v>386</v>
      </c>
      <c r="D299" s="90" t="s">
        <v>257</v>
      </c>
      <c r="E299" s="90" t="s">
        <v>831</v>
      </c>
    </row>
    <row r="300" spans="2:5">
      <c r="B300" s="88">
        <v>387</v>
      </c>
      <c r="D300" s="90" t="s">
        <v>258</v>
      </c>
      <c r="E300" s="90" t="s">
        <v>832</v>
      </c>
    </row>
    <row r="301" spans="2:5">
      <c r="B301" s="88">
        <v>388</v>
      </c>
      <c r="D301" s="90" t="s">
        <v>259</v>
      </c>
      <c r="E301" s="90" t="s">
        <v>577</v>
      </c>
    </row>
    <row r="302" spans="2:5">
      <c r="B302" s="88">
        <v>389</v>
      </c>
      <c r="D302" s="90" t="s">
        <v>260</v>
      </c>
      <c r="E302" s="90" t="s">
        <v>833</v>
      </c>
    </row>
    <row r="303" spans="2:5">
      <c r="B303" s="88">
        <v>390</v>
      </c>
      <c r="D303" s="90" t="s">
        <v>261</v>
      </c>
      <c r="E303" s="90" t="s">
        <v>834</v>
      </c>
    </row>
    <row r="304" spans="2:5" ht="39.6">
      <c r="B304" s="88">
        <v>391</v>
      </c>
      <c r="D304" s="90" t="s">
        <v>262</v>
      </c>
      <c r="E304" s="90" t="s">
        <v>835</v>
      </c>
    </row>
    <row r="305" spans="2:5">
      <c r="B305" s="88">
        <v>392</v>
      </c>
      <c r="D305" s="90" t="s">
        <v>263</v>
      </c>
      <c r="E305" s="90" t="s">
        <v>836</v>
      </c>
    </row>
    <row r="306" spans="2:5" ht="26.4">
      <c r="B306" s="88">
        <v>393</v>
      </c>
      <c r="D306" s="90" t="s">
        <v>264</v>
      </c>
      <c r="E306" s="90" t="s">
        <v>837</v>
      </c>
    </row>
    <row r="307" spans="2:5">
      <c r="B307" s="88">
        <v>394</v>
      </c>
      <c r="D307" s="90" t="s">
        <v>265</v>
      </c>
      <c r="E307" s="90" t="s">
        <v>838</v>
      </c>
    </row>
    <row r="308" spans="2:5" ht="26.4">
      <c r="B308" s="88">
        <v>395</v>
      </c>
      <c r="D308" s="90" t="s">
        <v>266</v>
      </c>
      <c r="E308" s="90" t="s">
        <v>839</v>
      </c>
    </row>
    <row r="309" spans="2:5" ht="26.4">
      <c r="B309" s="88">
        <v>396</v>
      </c>
      <c r="D309" s="90" t="s">
        <v>267</v>
      </c>
      <c r="E309" s="90" t="s">
        <v>840</v>
      </c>
    </row>
    <row r="310" spans="2:5" ht="26.4">
      <c r="B310" s="88">
        <v>397</v>
      </c>
      <c r="D310" s="90" t="s">
        <v>268</v>
      </c>
      <c r="E310" s="90" t="s">
        <v>841</v>
      </c>
    </row>
    <row r="311" spans="2:5" ht="26.4">
      <c r="B311" s="88">
        <v>398</v>
      </c>
      <c r="D311" s="90" t="s">
        <v>269</v>
      </c>
      <c r="E311" s="90" t="s">
        <v>842</v>
      </c>
    </row>
    <row r="312" spans="2:5" ht="26.4">
      <c r="B312" s="88">
        <v>399</v>
      </c>
      <c r="D312" s="90" t="s">
        <v>270</v>
      </c>
      <c r="E312" s="90" t="s">
        <v>843</v>
      </c>
    </row>
    <row r="313" spans="2:5" ht="26.4">
      <c r="B313" s="88">
        <v>400</v>
      </c>
      <c r="D313" s="90" t="s">
        <v>271</v>
      </c>
      <c r="E313" s="90" t="s">
        <v>844</v>
      </c>
    </row>
    <row r="314" spans="2:5" ht="26.4">
      <c r="B314" s="88">
        <v>401</v>
      </c>
      <c r="D314" s="90" t="s">
        <v>272</v>
      </c>
      <c r="E314" s="90" t="s">
        <v>845</v>
      </c>
    </row>
    <row r="315" spans="2:5" ht="26.4">
      <c r="B315" s="88">
        <v>402</v>
      </c>
      <c r="D315" s="90" t="s">
        <v>273</v>
      </c>
      <c r="E315" s="90" t="s">
        <v>846</v>
      </c>
    </row>
    <row r="316" spans="2:5" ht="26.4">
      <c r="B316" s="88">
        <v>403</v>
      </c>
      <c r="D316" s="90" t="s">
        <v>274</v>
      </c>
      <c r="E316" s="90" t="s">
        <v>847</v>
      </c>
    </row>
    <row r="317" spans="2:5" ht="26.4">
      <c r="B317" s="88">
        <v>404</v>
      </c>
      <c r="D317" s="90" t="s">
        <v>275</v>
      </c>
      <c r="E317" s="90" t="s">
        <v>848</v>
      </c>
    </row>
    <row r="318" spans="2:5" ht="26.4">
      <c r="B318" s="88">
        <v>405</v>
      </c>
      <c r="D318" s="90" t="s">
        <v>276</v>
      </c>
      <c r="E318" s="90" t="s">
        <v>849</v>
      </c>
    </row>
    <row r="319" spans="2:5" ht="26.4">
      <c r="B319" s="88">
        <v>406</v>
      </c>
      <c r="D319" s="90" t="s">
        <v>277</v>
      </c>
      <c r="E319" s="90" t="s">
        <v>850</v>
      </c>
    </row>
    <row r="320" spans="2:5" ht="26.4">
      <c r="B320" s="88">
        <v>407</v>
      </c>
      <c r="D320" s="90" t="s">
        <v>278</v>
      </c>
      <c r="E320" s="90" t="s">
        <v>851</v>
      </c>
    </row>
    <row r="321" spans="2:5" ht="26.4">
      <c r="B321" s="88">
        <v>408</v>
      </c>
      <c r="D321" s="90" t="s">
        <v>279</v>
      </c>
      <c r="E321" s="90" t="s">
        <v>852</v>
      </c>
    </row>
    <row r="322" spans="2:5" ht="26.4">
      <c r="B322" s="88">
        <v>409</v>
      </c>
      <c r="D322" s="90" t="s">
        <v>280</v>
      </c>
      <c r="E322" s="90" t="s">
        <v>853</v>
      </c>
    </row>
    <row r="323" spans="2:5" ht="26.4">
      <c r="B323" s="88">
        <v>410</v>
      </c>
      <c r="D323" s="90" t="s">
        <v>281</v>
      </c>
      <c r="E323" s="90" t="s">
        <v>854</v>
      </c>
    </row>
    <row r="324" spans="2:5" ht="26.4">
      <c r="B324" s="88">
        <v>411</v>
      </c>
      <c r="D324" s="90" t="s">
        <v>282</v>
      </c>
      <c r="E324" s="90" t="s">
        <v>855</v>
      </c>
    </row>
    <row r="325" spans="2:5" ht="26.4">
      <c r="B325" s="88">
        <v>412</v>
      </c>
      <c r="D325" s="90" t="s">
        <v>283</v>
      </c>
      <c r="E325" s="90" t="s">
        <v>856</v>
      </c>
    </row>
    <row r="326" spans="2:5" ht="26.4">
      <c r="B326" s="88">
        <v>413</v>
      </c>
      <c r="D326" s="90" t="s">
        <v>284</v>
      </c>
      <c r="E326" s="90" t="s">
        <v>857</v>
      </c>
    </row>
    <row r="327" spans="2:5">
      <c r="B327" s="88">
        <v>414</v>
      </c>
      <c r="D327" s="90" t="s">
        <v>478</v>
      </c>
      <c r="E327" s="90" t="s">
        <v>858</v>
      </c>
    </row>
    <row r="328" spans="2:5">
      <c r="B328" s="88">
        <v>415</v>
      </c>
      <c r="D328" s="90" t="s">
        <v>479</v>
      </c>
      <c r="E328" s="90" t="s">
        <v>858</v>
      </c>
    </row>
    <row r="329" spans="2:5">
      <c r="B329" s="88">
        <v>416</v>
      </c>
      <c r="D329" s="90" t="s">
        <v>285</v>
      </c>
      <c r="E329" s="90" t="s">
        <v>859</v>
      </c>
    </row>
    <row r="330" spans="2:5" ht="26.4">
      <c r="B330" s="88">
        <v>417</v>
      </c>
      <c r="D330" s="90" t="s">
        <v>286</v>
      </c>
      <c r="E330" s="90" t="s">
        <v>860</v>
      </c>
    </row>
    <row r="331" spans="2:5">
      <c r="B331" s="88">
        <v>418</v>
      </c>
      <c r="D331" s="90" t="s">
        <v>287</v>
      </c>
      <c r="E331" s="90" t="s">
        <v>861</v>
      </c>
    </row>
    <row r="332" spans="2:5" ht="26.4">
      <c r="B332" s="88">
        <v>419</v>
      </c>
      <c r="D332" s="90" t="s">
        <v>288</v>
      </c>
      <c r="E332" s="90" t="s">
        <v>862</v>
      </c>
    </row>
    <row r="333" spans="2:5">
      <c r="B333" s="88">
        <v>420</v>
      </c>
      <c r="D333" s="90" t="s">
        <v>480</v>
      </c>
      <c r="E333" s="90" t="s">
        <v>863</v>
      </c>
    </row>
    <row r="334" spans="2:5" ht="26.4">
      <c r="B334" s="88">
        <v>421</v>
      </c>
      <c r="D334" s="90" t="s">
        <v>481</v>
      </c>
      <c r="E334" s="90" t="s">
        <v>864</v>
      </c>
    </row>
    <row r="335" spans="2:5">
      <c r="B335" s="88">
        <v>422</v>
      </c>
      <c r="D335" s="90" t="s">
        <v>289</v>
      </c>
      <c r="E335" s="90" t="s">
        <v>865</v>
      </c>
    </row>
    <row r="336" spans="2:5" ht="26.4">
      <c r="B336" s="88">
        <v>423</v>
      </c>
      <c r="D336" s="90" t="s">
        <v>290</v>
      </c>
      <c r="E336" s="90" t="s">
        <v>866</v>
      </c>
    </row>
    <row r="337" spans="1:6">
      <c r="B337" s="88">
        <v>424</v>
      </c>
      <c r="D337" s="90" t="s">
        <v>291</v>
      </c>
      <c r="E337" s="90" t="s">
        <v>867</v>
      </c>
    </row>
    <row r="338" spans="1:6" ht="39.6">
      <c r="B338" s="88">
        <v>425</v>
      </c>
      <c r="D338" s="90" t="s">
        <v>292</v>
      </c>
      <c r="E338" s="90" t="s">
        <v>868</v>
      </c>
    </row>
    <row r="339" spans="1:6">
      <c r="B339" s="88">
        <v>426</v>
      </c>
      <c r="D339" s="90" t="s">
        <v>293</v>
      </c>
      <c r="E339" s="90" t="s">
        <v>869</v>
      </c>
    </row>
    <row r="340" spans="1:6" ht="26.4">
      <c r="B340" s="88">
        <v>427</v>
      </c>
      <c r="D340" s="90" t="s">
        <v>294</v>
      </c>
      <c r="E340" s="90" t="s">
        <v>870</v>
      </c>
    </row>
    <row r="341" spans="1:6" ht="26.4">
      <c r="B341" s="88">
        <v>428</v>
      </c>
      <c r="D341" s="90" t="s">
        <v>295</v>
      </c>
      <c r="E341" s="90" t="s">
        <v>871</v>
      </c>
    </row>
    <row r="342" spans="1:6" ht="26.4">
      <c r="B342" s="88">
        <v>429</v>
      </c>
      <c r="D342" s="90" t="s">
        <v>296</v>
      </c>
      <c r="E342" s="90" t="s">
        <v>872</v>
      </c>
    </row>
    <row r="343" spans="1:6">
      <c r="B343" s="88">
        <v>430</v>
      </c>
      <c r="D343" s="90" t="s">
        <v>297</v>
      </c>
      <c r="E343" s="90" t="s">
        <v>873</v>
      </c>
    </row>
    <row r="344" spans="1:6">
      <c r="B344" s="88">
        <v>431</v>
      </c>
      <c r="D344" s="90" t="s">
        <v>298</v>
      </c>
      <c r="E344" s="90" t="s">
        <v>874</v>
      </c>
    </row>
    <row r="345" spans="1:6">
      <c r="B345" s="88">
        <v>432</v>
      </c>
      <c r="D345" s="90" t="s">
        <v>299</v>
      </c>
      <c r="E345" s="90" t="s">
        <v>875</v>
      </c>
    </row>
    <row r="346" spans="1:6">
      <c r="B346" s="88">
        <v>433</v>
      </c>
      <c r="D346" s="90" t="s">
        <v>300</v>
      </c>
      <c r="E346" s="90" t="s">
        <v>876</v>
      </c>
    </row>
    <row r="347" spans="1:6">
      <c r="B347" s="88">
        <v>434</v>
      </c>
      <c r="D347" s="90" t="s">
        <v>301</v>
      </c>
      <c r="E347" s="90" t="s">
        <v>877</v>
      </c>
    </row>
    <row r="348" spans="1:6">
      <c r="B348" s="88">
        <v>435</v>
      </c>
      <c r="D348" s="90" t="s">
        <v>302</v>
      </c>
      <c r="E348" s="90" t="s">
        <v>878</v>
      </c>
    </row>
    <row r="349" spans="1:6">
      <c r="B349" s="88">
        <v>436</v>
      </c>
      <c r="D349" s="90" t="s">
        <v>482</v>
      </c>
      <c r="E349" s="90" t="s">
        <v>879</v>
      </c>
    </row>
    <row r="350" spans="1:6" ht="39.6">
      <c r="A350" s="91"/>
      <c r="B350" s="88">
        <v>437</v>
      </c>
      <c r="C350" s="98" t="s">
        <v>515</v>
      </c>
      <c r="D350" s="91" t="s">
        <v>532</v>
      </c>
      <c r="E350" s="91" t="s">
        <v>880</v>
      </c>
      <c r="F350" s="94"/>
    </row>
    <row r="351" spans="1:6" ht="39.6">
      <c r="B351" s="88">
        <v>438</v>
      </c>
      <c r="D351" s="90" t="s">
        <v>303</v>
      </c>
      <c r="E351" s="90" t="s">
        <v>881</v>
      </c>
    </row>
    <row r="352" spans="1:6">
      <c r="B352" s="88">
        <v>439</v>
      </c>
      <c r="D352" s="90" t="s">
        <v>304</v>
      </c>
      <c r="E352" s="90" t="s">
        <v>882</v>
      </c>
    </row>
    <row r="353" spans="2:5">
      <c r="B353" s="88">
        <v>440</v>
      </c>
      <c r="D353" s="90" t="s">
        <v>305</v>
      </c>
      <c r="E353" s="90" t="s">
        <v>883</v>
      </c>
    </row>
    <row r="354" spans="2:5">
      <c r="B354" s="88">
        <v>441</v>
      </c>
      <c r="D354" s="90" t="s">
        <v>306</v>
      </c>
      <c r="E354" s="90" t="s">
        <v>884</v>
      </c>
    </row>
    <row r="355" spans="2:5" ht="26.4">
      <c r="B355" s="88">
        <v>442</v>
      </c>
      <c r="D355" s="90" t="s">
        <v>1000</v>
      </c>
      <c r="E355" s="90" t="s">
        <v>1001</v>
      </c>
    </row>
    <row r="356" spans="2:5">
      <c r="B356" s="88">
        <v>443</v>
      </c>
      <c r="D356" s="90" t="s">
        <v>307</v>
      </c>
      <c r="E356" s="90" t="s">
        <v>885</v>
      </c>
    </row>
    <row r="357" spans="2:5">
      <c r="B357" s="88">
        <v>444</v>
      </c>
      <c r="D357" s="90" t="s">
        <v>308</v>
      </c>
      <c r="E357" s="90" t="s">
        <v>886</v>
      </c>
    </row>
    <row r="358" spans="2:5">
      <c r="B358" s="88">
        <v>445</v>
      </c>
      <c r="D358" s="90" t="s">
        <v>309</v>
      </c>
      <c r="E358" s="90" t="s">
        <v>887</v>
      </c>
    </row>
    <row r="359" spans="2:5">
      <c r="B359" s="88">
        <v>446</v>
      </c>
      <c r="D359" s="90" t="s">
        <v>310</v>
      </c>
      <c r="E359" s="90" t="s">
        <v>888</v>
      </c>
    </row>
    <row r="360" spans="2:5">
      <c r="B360" s="88">
        <v>447</v>
      </c>
      <c r="D360" s="90" t="s">
        <v>483</v>
      </c>
      <c r="E360" s="90" t="s">
        <v>889</v>
      </c>
    </row>
    <row r="361" spans="2:5">
      <c r="B361" s="88">
        <v>448</v>
      </c>
      <c r="D361" s="90" t="s">
        <v>311</v>
      </c>
      <c r="E361" s="90" t="s">
        <v>890</v>
      </c>
    </row>
    <row r="362" spans="2:5">
      <c r="B362" s="88">
        <v>449</v>
      </c>
      <c r="D362" s="90" t="s">
        <v>484</v>
      </c>
      <c r="E362" s="90" t="s">
        <v>891</v>
      </c>
    </row>
    <row r="363" spans="2:5" ht="26.4">
      <c r="B363" s="88">
        <v>450</v>
      </c>
      <c r="D363" s="90" t="s">
        <v>312</v>
      </c>
      <c r="E363" s="90" t="s">
        <v>892</v>
      </c>
    </row>
    <row r="364" spans="2:5">
      <c r="B364" s="88">
        <v>451</v>
      </c>
      <c r="D364" s="90" t="s">
        <v>313</v>
      </c>
      <c r="E364" s="90" t="s">
        <v>893</v>
      </c>
    </row>
    <row r="365" spans="2:5">
      <c r="B365" s="88">
        <v>452</v>
      </c>
      <c r="D365" s="90" t="s">
        <v>314</v>
      </c>
      <c r="E365" s="90" t="s">
        <v>894</v>
      </c>
    </row>
    <row r="366" spans="2:5">
      <c r="B366" s="88">
        <v>453</v>
      </c>
      <c r="D366" s="90" t="s">
        <v>315</v>
      </c>
      <c r="E366" s="90" t="s">
        <v>895</v>
      </c>
    </row>
    <row r="367" spans="2:5" ht="39.6">
      <c r="B367" s="88">
        <v>454</v>
      </c>
      <c r="D367" s="90" t="s">
        <v>382</v>
      </c>
      <c r="E367" s="90" t="s">
        <v>896</v>
      </c>
    </row>
    <row r="368" spans="2:5">
      <c r="B368" s="88">
        <v>455</v>
      </c>
      <c r="D368" s="90" t="s">
        <v>316</v>
      </c>
      <c r="E368" s="90" t="s">
        <v>897</v>
      </c>
    </row>
    <row r="369" spans="2:5">
      <c r="B369" s="88">
        <v>456</v>
      </c>
      <c r="D369" s="90" t="s">
        <v>317</v>
      </c>
      <c r="E369" s="90" t="s">
        <v>898</v>
      </c>
    </row>
    <row r="370" spans="2:5">
      <c r="B370" s="88">
        <v>457</v>
      </c>
      <c r="D370" s="90" t="s">
        <v>318</v>
      </c>
      <c r="E370" s="90" t="s">
        <v>899</v>
      </c>
    </row>
    <row r="371" spans="2:5">
      <c r="B371" s="88">
        <v>458</v>
      </c>
      <c r="D371" s="90" t="s">
        <v>319</v>
      </c>
      <c r="E371" s="90" t="s">
        <v>900</v>
      </c>
    </row>
    <row r="372" spans="2:5">
      <c r="B372" s="88">
        <v>459</v>
      </c>
      <c r="D372" s="90" t="s">
        <v>320</v>
      </c>
      <c r="E372" s="90" t="s">
        <v>901</v>
      </c>
    </row>
    <row r="373" spans="2:5" ht="26.4">
      <c r="B373" s="88">
        <v>460</v>
      </c>
      <c r="D373" s="90" t="s">
        <v>321</v>
      </c>
      <c r="E373" s="90" t="s">
        <v>902</v>
      </c>
    </row>
    <row r="374" spans="2:5">
      <c r="B374" s="88">
        <v>461</v>
      </c>
      <c r="D374" s="90" t="s">
        <v>322</v>
      </c>
      <c r="E374" s="90" t="s">
        <v>903</v>
      </c>
    </row>
    <row r="375" spans="2:5">
      <c r="B375" s="88">
        <v>462</v>
      </c>
      <c r="D375" s="90" t="s">
        <v>323</v>
      </c>
      <c r="E375" s="90" t="s">
        <v>904</v>
      </c>
    </row>
    <row r="376" spans="2:5">
      <c r="B376" s="88">
        <v>463</v>
      </c>
      <c r="D376" s="90" t="s">
        <v>324</v>
      </c>
      <c r="E376" s="90" t="s">
        <v>905</v>
      </c>
    </row>
    <row r="377" spans="2:5" ht="26.4">
      <c r="B377" s="88">
        <v>464</v>
      </c>
      <c r="D377" s="90" t="s">
        <v>485</v>
      </c>
      <c r="E377" s="90" t="s">
        <v>906</v>
      </c>
    </row>
    <row r="378" spans="2:5">
      <c r="B378" s="88">
        <v>465</v>
      </c>
      <c r="D378" s="90" t="s">
        <v>325</v>
      </c>
      <c r="E378" s="90" t="s">
        <v>907</v>
      </c>
    </row>
    <row r="379" spans="2:5">
      <c r="B379" s="88">
        <v>466</v>
      </c>
      <c r="D379" s="90" t="s">
        <v>326</v>
      </c>
      <c r="E379" s="90" t="s">
        <v>908</v>
      </c>
    </row>
    <row r="380" spans="2:5">
      <c r="B380" s="88">
        <v>467</v>
      </c>
      <c r="D380" s="90" t="s">
        <v>327</v>
      </c>
      <c r="E380" s="90" t="s">
        <v>909</v>
      </c>
    </row>
    <row r="381" spans="2:5">
      <c r="B381" s="88">
        <v>468</v>
      </c>
      <c r="D381" s="90" t="s">
        <v>486</v>
      </c>
      <c r="E381" s="90" t="s">
        <v>910</v>
      </c>
    </row>
    <row r="382" spans="2:5" ht="26.4">
      <c r="B382" s="88">
        <v>469</v>
      </c>
      <c r="D382" s="90" t="s">
        <v>487</v>
      </c>
      <c r="E382" s="90" t="s">
        <v>911</v>
      </c>
    </row>
    <row r="383" spans="2:5">
      <c r="B383" s="88">
        <v>470</v>
      </c>
      <c r="D383" s="90" t="s">
        <v>328</v>
      </c>
      <c r="E383" s="90" t="s">
        <v>912</v>
      </c>
    </row>
    <row r="384" spans="2:5">
      <c r="B384" s="88">
        <v>471</v>
      </c>
      <c r="D384" s="90" t="s">
        <v>329</v>
      </c>
      <c r="E384" s="90" t="s">
        <v>913</v>
      </c>
    </row>
    <row r="385" spans="1:6">
      <c r="B385" s="88">
        <v>472</v>
      </c>
      <c r="D385" s="90" t="s">
        <v>330</v>
      </c>
      <c r="E385" s="90" t="s">
        <v>914</v>
      </c>
    </row>
    <row r="386" spans="1:6" ht="39.6">
      <c r="B386" s="88">
        <v>473</v>
      </c>
      <c r="D386" s="90" t="s">
        <v>331</v>
      </c>
      <c r="E386" s="90" t="s">
        <v>915</v>
      </c>
    </row>
    <row r="387" spans="1:6">
      <c r="B387" s="88">
        <v>474</v>
      </c>
      <c r="D387" s="90" t="s">
        <v>332</v>
      </c>
      <c r="E387" s="90" t="s">
        <v>916</v>
      </c>
    </row>
    <row r="388" spans="1:6">
      <c r="A388" s="92"/>
      <c r="B388" s="88">
        <v>475</v>
      </c>
      <c r="C388" s="93" t="s">
        <v>496</v>
      </c>
      <c r="D388" s="91" t="s">
        <v>502</v>
      </c>
      <c r="E388" s="91" t="s">
        <v>917</v>
      </c>
      <c r="F388" s="94"/>
    </row>
    <row r="389" spans="1:6">
      <c r="A389" s="92"/>
      <c r="B389" s="88">
        <v>476</v>
      </c>
      <c r="C389" s="93" t="s">
        <v>496</v>
      </c>
      <c r="D389" s="91" t="s">
        <v>533</v>
      </c>
      <c r="E389" s="91" t="s">
        <v>918</v>
      </c>
      <c r="F389" s="94"/>
    </row>
    <row r="390" spans="1:6">
      <c r="B390" s="88">
        <v>477</v>
      </c>
      <c r="D390" s="90" t="s">
        <v>333</v>
      </c>
      <c r="E390" s="91" t="s">
        <v>919</v>
      </c>
    </row>
    <row r="391" spans="1:6">
      <c r="B391" s="88">
        <v>478</v>
      </c>
      <c r="D391" s="90" t="s">
        <v>334</v>
      </c>
      <c r="E391" s="90" t="s">
        <v>920</v>
      </c>
    </row>
    <row r="392" spans="1:6">
      <c r="B392" s="88">
        <v>479</v>
      </c>
      <c r="D392" s="90" t="s">
        <v>335</v>
      </c>
      <c r="E392" s="90" t="s">
        <v>921</v>
      </c>
    </row>
    <row r="393" spans="1:6" ht="26.4">
      <c r="B393" s="88">
        <v>480</v>
      </c>
      <c r="D393" s="90" t="s">
        <v>336</v>
      </c>
      <c r="E393" s="90" t="s">
        <v>922</v>
      </c>
    </row>
    <row r="394" spans="1:6">
      <c r="B394" s="88">
        <v>481</v>
      </c>
      <c r="D394" s="90" t="s">
        <v>337</v>
      </c>
      <c r="E394" s="90" t="s">
        <v>923</v>
      </c>
    </row>
    <row r="395" spans="1:6" ht="26.4">
      <c r="B395" s="88">
        <v>482</v>
      </c>
      <c r="D395" s="90" t="s">
        <v>338</v>
      </c>
      <c r="E395" s="90" t="s">
        <v>924</v>
      </c>
    </row>
    <row r="396" spans="1:6">
      <c r="B396" s="88">
        <v>483</v>
      </c>
      <c r="D396" s="90" t="s">
        <v>339</v>
      </c>
      <c r="E396" s="90" t="s">
        <v>1026</v>
      </c>
    </row>
    <row r="397" spans="1:6">
      <c r="B397" s="88">
        <v>484</v>
      </c>
      <c r="D397" s="90" t="s">
        <v>340</v>
      </c>
      <c r="E397" s="90" t="s">
        <v>925</v>
      </c>
    </row>
    <row r="398" spans="1:6">
      <c r="B398" s="88">
        <v>485</v>
      </c>
      <c r="D398" s="90" t="s">
        <v>341</v>
      </c>
      <c r="E398" s="90" t="s">
        <v>926</v>
      </c>
    </row>
    <row r="399" spans="1:6">
      <c r="B399" s="88">
        <v>486</v>
      </c>
      <c r="D399" s="90" t="s">
        <v>342</v>
      </c>
      <c r="E399" s="90" t="s">
        <v>927</v>
      </c>
    </row>
    <row r="400" spans="1:6">
      <c r="B400" s="88">
        <v>487</v>
      </c>
      <c r="D400" s="90" t="s">
        <v>343</v>
      </c>
      <c r="E400" s="90" t="s">
        <v>928</v>
      </c>
    </row>
    <row r="401" spans="2:5">
      <c r="B401" s="88">
        <v>488</v>
      </c>
      <c r="D401" s="90" t="s">
        <v>344</v>
      </c>
      <c r="E401" s="90" t="s">
        <v>929</v>
      </c>
    </row>
    <row r="402" spans="2:5">
      <c r="B402" s="88">
        <v>489</v>
      </c>
      <c r="D402" s="90" t="s">
        <v>345</v>
      </c>
      <c r="E402" s="90" t="s">
        <v>345</v>
      </c>
    </row>
    <row r="403" spans="2:5">
      <c r="B403" s="88">
        <v>490</v>
      </c>
      <c r="D403" s="90" t="s">
        <v>488</v>
      </c>
      <c r="E403" s="90" t="s">
        <v>930</v>
      </c>
    </row>
    <row r="404" spans="2:5">
      <c r="B404" s="88">
        <v>491</v>
      </c>
      <c r="D404" s="90" t="s">
        <v>346</v>
      </c>
      <c r="E404" s="90" t="s">
        <v>931</v>
      </c>
    </row>
    <row r="405" spans="2:5">
      <c r="B405" s="88">
        <v>492</v>
      </c>
      <c r="D405" s="90" t="s">
        <v>347</v>
      </c>
      <c r="E405" s="90" t="s">
        <v>347</v>
      </c>
    </row>
    <row r="406" spans="2:5">
      <c r="B406" s="88">
        <v>493</v>
      </c>
      <c r="D406" s="90" t="s">
        <v>489</v>
      </c>
    </row>
    <row r="407" spans="2:5">
      <c r="B407" s="88">
        <v>494</v>
      </c>
      <c r="D407" s="90" t="s">
        <v>348</v>
      </c>
      <c r="E407" s="90" t="s">
        <v>932</v>
      </c>
    </row>
    <row r="408" spans="2:5">
      <c r="B408" s="88">
        <v>495</v>
      </c>
      <c r="D408" s="90" t="s">
        <v>490</v>
      </c>
      <c r="E408" s="90" t="s">
        <v>933</v>
      </c>
    </row>
    <row r="409" spans="2:5">
      <c r="B409" s="88">
        <v>496</v>
      </c>
      <c r="D409" s="90" t="s">
        <v>491</v>
      </c>
      <c r="E409" s="90" t="s">
        <v>934</v>
      </c>
    </row>
    <row r="410" spans="2:5">
      <c r="B410" s="88">
        <v>497</v>
      </c>
      <c r="D410" s="90" t="s">
        <v>492</v>
      </c>
      <c r="E410" s="90" t="s">
        <v>933</v>
      </c>
    </row>
    <row r="411" spans="2:5">
      <c r="B411" s="88">
        <v>498</v>
      </c>
      <c r="D411" s="90" t="s">
        <v>349</v>
      </c>
      <c r="E411" s="90" t="s">
        <v>540</v>
      </c>
    </row>
    <row r="412" spans="2:5">
      <c r="B412" s="88">
        <v>499</v>
      </c>
      <c r="D412" s="90" t="s">
        <v>350</v>
      </c>
      <c r="E412" s="90" t="s">
        <v>935</v>
      </c>
    </row>
    <row r="413" spans="2:5">
      <c r="B413" s="88">
        <v>500</v>
      </c>
      <c r="D413" s="90" t="s">
        <v>351</v>
      </c>
      <c r="E413" s="90" t="s">
        <v>936</v>
      </c>
    </row>
    <row r="414" spans="2:5">
      <c r="B414" s="88">
        <v>501</v>
      </c>
      <c r="D414" s="90" t="s">
        <v>352</v>
      </c>
      <c r="E414" s="90" t="s">
        <v>937</v>
      </c>
    </row>
    <row r="415" spans="2:5">
      <c r="B415" s="88">
        <v>502</v>
      </c>
      <c r="D415" s="90" t="s">
        <v>353</v>
      </c>
    </row>
    <row r="416" spans="2:5">
      <c r="B416" s="88">
        <v>503</v>
      </c>
      <c r="D416" s="90" t="s">
        <v>354</v>
      </c>
    </row>
    <row r="417" spans="1:6">
      <c r="B417" s="88">
        <v>504</v>
      </c>
      <c r="D417" s="90" t="s">
        <v>355</v>
      </c>
      <c r="E417" s="90" t="s">
        <v>938</v>
      </c>
    </row>
    <row r="418" spans="1:6">
      <c r="B418" s="88">
        <v>505</v>
      </c>
      <c r="D418" s="90" t="s">
        <v>493</v>
      </c>
      <c r="E418" s="90" t="s">
        <v>939</v>
      </c>
    </row>
    <row r="419" spans="1:6">
      <c r="B419" s="88">
        <v>506</v>
      </c>
      <c r="D419" s="90" t="s">
        <v>356</v>
      </c>
      <c r="E419" s="90" t="s">
        <v>940</v>
      </c>
    </row>
    <row r="420" spans="1:6">
      <c r="B420" s="88">
        <v>507</v>
      </c>
      <c r="D420" s="90" t="s">
        <v>419</v>
      </c>
      <c r="E420" s="90" t="s">
        <v>941</v>
      </c>
    </row>
    <row r="421" spans="1:6">
      <c r="B421" s="88">
        <v>508</v>
      </c>
      <c r="D421" s="90" t="s">
        <v>357</v>
      </c>
      <c r="E421" s="90" t="s">
        <v>940</v>
      </c>
    </row>
    <row r="422" spans="1:6" ht="26.4">
      <c r="A422" s="91"/>
      <c r="B422" s="88">
        <v>509</v>
      </c>
      <c r="C422" s="91"/>
      <c r="D422" s="91" t="s">
        <v>534</v>
      </c>
      <c r="E422" s="91" t="s">
        <v>942</v>
      </c>
      <c r="F422" s="94"/>
    </row>
    <row r="423" spans="1:6">
      <c r="B423" s="88">
        <v>510</v>
      </c>
      <c r="D423" s="90" t="s">
        <v>358</v>
      </c>
      <c r="E423" s="90" t="s">
        <v>358</v>
      </c>
    </row>
    <row r="424" spans="1:6">
      <c r="B424" s="88">
        <v>511</v>
      </c>
      <c r="D424" s="90" t="s">
        <v>359</v>
      </c>
      <c r="E424" s="90" t="s">
        <v>943</v>
      </c>
    </row>
    <row r="425" spans="1:6">
      <c r="B425" s="88">
        <v>512</v>
      </c>
      <c r="D425" s="90" t="s">
        <v>360</v>
      </c>
      <c r="E425" s="90" t="s">
        <v>944</v>
      </c>
    </row>
    <row r="426" spans="1:6">
      <c r="B426" s="88">
        <v>513</v>
      </c>
      <c r="D426" s="90" t="s">
        <v>494</v>
      </c>
      <c r="E426" s="90" t="s">
        <v>945</v>
      </c>
    </row>
    <row r="427" spans="1:6">
      <c r="B427" s="88">
        <v>514</v>
      </c>
      <c r="D427" s="90" t="s">
        <v>361</v>
      </c>
      <c r="E427" s="90" t="s">
        <v>946</v>
      </c>
    </row>
    <row r="428" spans="1:6">
      <c r="B428" s="88">
        <v>515</v>
      </c>
      <c r="D428" s="90" t="s">
        <v>362</v>
      </c>
      <c r="E428" s="90" t="s">
        <v>947</v>
      </c>
    </row>
    <row r="429" spans="1:6">
      <c r="B429" s="88">
        <v>516</v>
      </c>
      <c r="D429" s="90" t="s">
        <v>363</v>
      </c>
      <c r="E429" s="90" t="s">
        <v>948</v>
      </c>
    </row>
    <row r="430" spans="1:6">
      <c r="B430" s="88">
        <v>517</v>
      </c>
      <c r="D430" s="90" t="s">
        <v>495</v>
      </c>
      <c r="E430" s="90" t="s">
        <v>949</v>
      </c>
    </row>
    <row r="431" spans="1:6" ht="26.4">
      <c r="B431" s="88">
        <v>518</v>
      </c>
      <c r="D431" s="90" t="s">
        <v>364</v>
      </c>
      <c r="E431" s="90" t="s">
        <v>950</v>
      </c>
    </row>
    <row r="432" spans="1:6">
      <c r="B432" s="88">
        <v>519</v>
      </c>
      <c r="D432" s="90" t="s">
        <v>365</v>
      </c>
      <c r="E432" s="90" t="s">
        <v>948</v>
      </c>
    </row>
    <row r="433" spans="1:6">
      <c r="B433" s="88">
        <v>520</v>
      </c>
      <c r="D433" s="90" t="s">
        <v>366</v>
      </c>
      <c r="E433" s="90" t="s">
        <v>951</v>
      </c>
    </row>
    <row r="434" spans="1:6">
      <c r="B434" s="88">
        <v>521</v>
      </c>
      <c r="D434" s="90" t="s">
        <v>367</v>
      </c>
      <c r="E434" s="90" t="s">
        <v>952</v>
      </c>
    </row>
    <row r="435" spans="1:6">
      <c r="B435" s="88">
        <v>522</v>
      </c>
      <c r="D435" s="90" t="s">
        <v>368</v>
      </c>
      <c r="E435" s="90" t="s">
        <v>953</v>
      </c>
    </row>
    <row r="436" spans="1:6" s="91" customFormat="1">
      <c r="A436" s="87"/>
      <c r="B436" s="88">
        <v>523</v>
      </c>
      <c r="C436" s="89"/>
      <c r="D436" s="90" t="s">
        <v>369</v>
      </c>
      <c r="E436" s="90" t="s">
        <v>954</v>
      </c>
      <c r="F436" s="87"/>
    </row>
    <row r="437" spans="1:6" s="91" customFormat="1">
      <c r="A437" s="87"/>
      <c r="B437" s="88">
        <v>524</v>
      </c>
      <c r="C437" s="89"/>
      <c r="D437" s="90" t="s">
        <v>370</v>
      </c>
      <c r="E437" s="90" t="s">
        <v>955</v>
      </c>
      <c r="F437" s="87"/>
    </row>
    <row r="438" spans="1:6" s="92" customFormat="1">
      <c r="A438" s="87"/>
      <c r="B438" s="88">
        <v>525</v>
      </c>
      <c r="C438" s="89"/>
      <c r="D438" s="90" t="s">
        <v>371</v>
      </c>
      <c r="E438" s="90" t="s">
        <v>947</v>
      </c>
      <c r="F438" s="87"/>
    </row>
    <row r="439" spans="1:6" s="92" customFormat="1" ht="26.4">
      <c r="A439" s="87"/>
      <c r="B439" s="88">
        <v>526</v>
      </c>
      <c r="C439" s="89"/>
      <c r="D439" s="90" t="s">
        <v>372</v>
      </c>
      <c r="E439" s="90" t="s">
        <v>956</v>
      </c>
      <c r="F439" s="87"/>
    </row>
    <row r="440" spans="1:6" s="92" customFormat="1" ht="26.4">
      <c r="A440" s="87"/>
      <c r="B440" s="88">
        <v>527</v>
      </c>
      <c r="C440" s="89"/>
      <c r="D440" s="90" t="s">
        <v>373</v>
      </c>
      <c r="E440" s="90" t="s">
        <v>957</v>
      </c>
      <c r="F440" s="87"/>
    </row>
    <row r="441" spans="1:6" s="92" customFormat="1">
      <c r="A441" s="87"/>
      <c r="B441" s="88">
        <v>528</v>
      </c>
      <c r="C441" s="89"/>
      <c r="D441" s="90" t="s">
        <v>374</v>
      </c>
      <c r="E441" s="90" t="s">
        <v>958</v>
      </c>
      <c r="F441" s="87"/>
    </row>
    <row r="442" spans="1:6" s="92" customFormat="1" ht="26.4">
      <c r="A442" s="87"/>
      <c r="B442" s="88">
        <v>529</v>
      </c>
      <c r="C442" s="89"/>
      <c r="D442" s="90" t="s">
        <v>375</v>
      </c>
      <c r="E442" s="90" t="s">
        <v>959</v>
      </c>
      <c r="F442" s="87"/>
    </row>
    <row r="443" spans="1:6" s="92" customFormat="1">
      <c r="A443" s="87"/>
      <c r="B443" s="88">
        <v>530</v>
      </c>
      <c r="C443" s="89"/>
      <c r="D443" s="90" t="s">
        <v>376</v>
      </c>
      <c r="E443" s="90" t="s">
        <v>960</v>
      </c>
      <c r="F443" s="87"/>
    </row>
    <row r="444" spans="1:6" s="92" customFormat="1">
      <c r="A444" s="87"/>
      <c r="B444" s="88">
        <v>531</v>
      </c>
      <c r="C444" s="89"/>
      <c r="D444" s="90" t="s">
        <v>377</v>
      </c>
      <c r="E444" s="90" t="s">
        <v>961</v>
      </c>
      <c r="F444" s="87"/>
    </row>
    <row r="445" spans="1:6" s="92" customFormat="1">
      <c r="A445" s="87"/>
      <c r="B445" s="88">
        <v>532</v>
      </c>
      <c r="C445" s="89"/>
      <c r="D445" s="90" t="s">
        <v>378</v>
      </c>
      <c r="E445" s="90" t="s">
        <v>962</v>
      </c>
      <c r="F445" s="87"/>
    </row>
    <row r="446" spans="1:6" s="92" customFormat="1">
      <c r="A446" s="87"/>
      <c r="B446" s="88">
        <v>533</v>
      </c>
      <c r="C446" s="89"/>
      <c r="D446" s="90" t="s">
        <v>379</v>
      </c>
      <c r="E446" s="90" t="s">
        <v>963</v>
      </c>
      <c r="F446" s="87"/>
    </row>
    <row r="447" spans="1:6" s="92" customFormat="1">
      <c r="A447" s="87"/>
      <c r="B447" s="88">
        <v>534</v>
      </c>
      <c r="C447" s="89"/>
      <c r="D447" s="90" t="s">
        <v>380</v>
      </c>
      <c r="E447" s="90" t="s">
        <v>964</v>
      </c>
      <c r="F447" s="87"/>
    </row>
    <row r="448" spans="1:6" s="92" customFormat="1">
      <c r="A448" s="87"/>
      <c r="B448" s="88">
        <v>535</v>
      </c>
      <c r="C448" s="89"/>
      <c r="D448" s="90" t="s">
        <v>381</v>
      </c>
      <c r="E448" s="90" t="s">
        <v>965</v>
      </c>
      <c r="F448" s="87"/>
    </row>
    <row r="449" spans="2:5">
      <c r="B449" s="88">
        <v>536</v>
      </c>
      <c r="D449" s="90" t="s">
        <v>536</v>
      </c>
      <c r="E449" s="90" t="s">
        <v>966</v>
      </c>
    </row>
    <row r="450" spans="2:5">
      <c r="B450" s="88">
        <v>537</v>
      </c>
      <c r="D450" s="90" t="s">
        <v>1023</v>
      </c>
      <c r="E450" s="90" t="s">
        <v>1024</v>
      </c>
    </row>
    <row r="451" spans="2:5">
      <c r="B451" s="88">
        <v>538</v>
      </c>
      <c r="D451" s="90" t="s">
        <v>558</v>
      </c>
      <c r="E451" s="90" t="s">
        <v>967</v>
      </c>
    </row>
    <row r="452" spans="2:5">
      <c r="B452" s="88">
        <v>539</v>
      </c>
      <c r="D452" s="90" t="s">
        <v>554</v>
      </c>
      <c r="E452" s="90" t="s">
        <v>556</v>
      </c>
    </row>
    <row r="453" spans="2:5">
      <c r="B453" s="88">
        <v>540</v>
      </c>
      <c r="D453" s="90" t="s">
        <v>555</v>
      </c>
      <c r="E453" s="90" t="s">
        <v>968</v>
      </c>
    </row>
    <row r="454" spans="2:5">
      <c r="B454" s="88">
        <v>541</v>
      </c>
      <c r="D454" s="90" t="s">
        <v>553</v>
      </c>
      <c r="E454" s="90" t="s">
        <v>557</v>
      </c>
    </row>
    <row r="455" spans="2:5">
      <c r="B455" s="88">
        <v>542</v>
      </c>
      <c r="C455" s="89" t="s">
        <v>596</v>
      </c>
      <c r="D455" s="90" t="s">
        <v>589</v>
      </c>
      <c r="E455" s="99" t="s">
        <v>580</v>
      </c>
    </row>
    <row r="456" spans="2:5">
      <c r="B456" s="88">
        <v>543</v>
      </c>
      <c r="C456" s="89" t="s">
        <v>596</v>
      </c>
      <c r="D456" s="90" t="s">
        <v>590</v>
      </c>
      <c r="E456" s="99" t="s">
        <v>581</v>
      </c>
    </row>
    <row r="457" spans="2:5">
      <c r="B457" s="88">
        <v>544</v>
      </c>
      <c r="C457" s="89" t="s">
        <v>596</v>
      </c>
      <c r="D457" s="87" t="s">
        <v>591</v>
      </c>
      <c r="E457" s="99" t="s">
        <v>582</v>
      </c>
    </row>
    <row r="458" spans="2:5">
      <c r="B458" s="88">
        <v>545</v>
      </c>
      <c r="C458" s="89" t="s">
        <v>596</v>
      </c>
      <c r="D458" s="87" t="s">
        <v>592</v>
      </c>
      <c r="E458" s="99" t="s">
        <v>583</v>
      </c>
    </row>
    <row r="459" spans="2:5">
      <c r="B459" s="88">
        <v>546</v>
      </c>
      <c r="C459" s="89" t="s">
        <v>596</v>
      </c>
      <c r="D459" s="87" t="s">
        <v>430</v>
      </c>
      <c r="E459" s="99" t="s">
        <v>584</v>
      </c>
    </row>
    <row r="460" spans="2:5">
      <c r="B460" s="88">
        <v>547</v>
      </c>
      <c r="C460" s="89" t="s">
        <v>596</v>
      </c>
      <c r="D460" s="87" t="s">
        <v>429</v>
      </c>
      <c r="E460" s="99" t="s">
        <v>585</v>
      </c>
    </row>
    <row r="461" spans="2:5">
      <c r="B461" s="88">
        <v>548</v>
      </c>
      <c r="C461" s="89" t="s">
        <v>596</v>
      </c>
      <c r="D461" s="87" t="s">
        <v>593</v>
      </c>
      <c r="E461" s="99" t="s">
        <v>586</v>
      </c>
    </row>
    <row r="462" spans="2:5">
      <c r="B462" s="88">
        <v>549</v>
      </c>
      <c r="C462" s="89" t="s">
        <v>596</v>
      </c>
      <c r="D462" s="87" t="s">
        <v>594</v>
      </c>
      <c r="E462" s="99" t="s">
        <v>587</v>
      </c>
    </row>
    <row r="463" spans="2:5">
      <c r="B463" s="88">
        <v>550</v>
      </c>
      <c r="C463" s="89" t="s">
        <v>596</v>
      </c>
      <c r="D463" s="87" t="s">
        <v>595</v>
      </c>
      <c r="E463" s="99" t="s">
        <v>969</v>
      </c>
    </row>
    <row r="464" spans="2:5">
      <c r="B464" s="88">
        <v>551</v>
      </c>
      <c r="C464" s="89" t="s">
        <v>596</v>
      </c>
      <c r="D464" s="87" t="s">
        <v>970</v>
      </c>
      <c r="E464" s="99" t="s">
        <v>971</v>
      </c>
    </row>
    <row r="465" spans="2:5">
      <c r="B465" s="88">
        <v>552</v>
      </c>
      <c r="C465" s="89" t="s">
        <v>596</v>
      </c>
      <c r="D465" s="87" t="s">
        <v>998</v>
      </c>
      <c r="E465" s="99" t="s">
        <v>999</v>
      </c>
    </row>
    <row r="466" spans="2:5">
      <c r="B466" s="88">
        <v>553</v>
      </c>
      <c r="C466" s="89" t="s">
        <v>596</v>
      </c>
      <c r="D466" s="87" t="s">
        <v>972</v>
      </c>
      <c r="E466" s="99" t="s">
        <v>973</v>
      </c>
    </row>
    <row r="467" spans="2:5">
      <c r="B467" s="88">
        <v>554</v>
      </c>
      <c r="C467" s="89" t="s">
        <v>596</v>
      </c>
      <c r="D467" s="87" t="s">
        <v>996</v>
      </c>
      <c r="E467" s="99" t="s">
        <v>997</v>
      </c>
    </row>
    <row r="468" spans="2:5">
      <c r="B468" s="88">
        <v>555</v>
      </c>
      <c r="C468" s="89" t="s">
        <v>596</v>
      </c>
      <c r="D468" s="87" t="s">
        <v>974</v>
      </c>
      <c r="E468" s="99" t="s">
        <v>975</v>
      </c>
    </row>
    <row r="469" spans="2:5">
      <c r="B469" s="88">
        <v>556</v>
      </c>
      <c r="C469" s="89" t="s">
        <v>596</v>
      </c>
      <c r="D469" s="90" t="s">
        <v>976</v>
      </c>
      <c r="E469" s="90" t="s">
        <v>977</v>
      </c>
    </row>
    <row r="470" spans="2:5">
      <c r="B470" s="88">
        <v>557</v>
      </c>
      <c r="C470" s="89" t="s">
        <v>596</v>
      </c>
      <c r="D470" s="90" t="s">
        <v>994</v>
      </c>
      <c r="E470" s="90" t="s">
        <v>995</v>
      </c>
    </row>
    <row r="471" spans="2:5">
      <c r="B471" s="88">
        <v>558</v>
      </c>
      <c r="C471" s="89" t="s">
        <v>596</v>
      </c>
      <c r="D471" s="90" t="s">
        <v>980</v>
      </c>
      <c r="E471" s="90" t="s">
        <v>982</v>
      </c>
    </row>
    <row r="472" spans="2:5">
      <c r="B472" s="88">
        <v>559</v>
      </c>
      <c r="C472" s="89" t="s">
        <v>596</v>
      </c>
      <c r="D472" s="90" t="s">
        <v>981</v>
      </c>
      <c r="E472" s="90" t="s">
        <v>983</v>
      </c>
    </row>
    <row r="473" spans="2:5">
      <c r="B473" s="88">
        <v>560</v>
      </c>
      <c r="D473" s="90" t="s">
        <v>984</v>
      </c>
      <c r="E473" s="90" t="s">
        <v>985</v>
      </c>
    </row>
    <row r="474" spans="2:5">
      <c r="B474" s="88">
        <v>561</v>
      </c>
      <c r="C474" s="89" t="s">
        <v>596</v>
      </c>
      <c r="D474" s="90" t="s">
        <v>990</v>
      </c>
      <c r="E474" s="90" t="s">
        <v>1029</v>
      </c>
    </row>
    <row r="475" spans="2:5">
      <c r="B475" s="88">
        <v>562</v>
      </c>
      <c r="C475" s="89" t="s">
        <v>596</v>
      </c>
      <c r="D475" s="90" t="s">
        <v>992</v>
      </c>
      <c r="E475" s="90" t="s">
        <v>993</v>
      </c>
    </row>
    <row r="476" spans="2:5">
      <c r="B476" s="88">
        <v>563</v>
      </c>
      <c r="C476" s="89" t="s">
        <v>1010</v>
      </c>
      <c r="D476" s="90" t="s">
        <v>1006</v>
      </c>
      <c r="E476" s="90" t="s">
        <v>1002</v>
      </c>
    </row>
    <row r="477" spans="2:5">
      <c r="B477" s="88">
        <v>564</v>
      </c>
      <c r="C477" s="89" t="s">
        <v>1010</v>
      </c>
      <c r="D477" s="90" t="s">
        <v>1005</v>
      </c>
      <c r="E477" s="90" t="s">
        <v>1003</v>
      </c>
    </row>
    <row r="478" spans="2:5">
      <c r="B478" s="88">
        <v>565</v>
      </c>
      <c r="C478" s="89" t="s">
        <v>1010</v>
      </c>
      <c r="D478" s="90" t="s">
        <v>1014</v>
      </c>
      <c r="E478" s="90" t="s">
        <v>1015</v>
      </c>
    </row>
    <row r="479" spans="2:5">
      <c r="B479" s="88">
        <v>566</v>
      </c>
      <c r="C479" s="89" t="s">
        <v>1010</v>
      </c>
      <c r="D479" s="90" t="s">
        <v>1007</v>
      </c>
      <c r="E479" s="90" t="s">
        <v>1008</v>
      </c>
    </row>
    <row r="480" spans="2:5" ht="26.4">
      <c r="B480" s="88">
        <v>567</v>
      </c>
      <c r="C480" s="89" t="s">
        <v>1010</v>
      </c>
      <c r="D480" s="90" t="s">
        <v>1004</v>
      </c>
      <c r="E480" s="90" t="s">
        <v>1009</v>
      </c>
    </row>
    <row r="481" spans="2:5">
      <c r="B481" s="88">
        <v>568</v>
      </c>
      <c r="C481" s="89" t="s">
        <v>1010</v>
      </c>
      <c r="D481" s="90" t="s">
        <v>1011</v>
      </c>
      <c r="E481" s="90" t="s">
        <v>1012</v>
      </c>
    </row>
    <row r="482" spans="2:5">
      <c r="B482" s="88">
        <v>569</v>
      </c>
      <c r="D482" s="90" t="s">
        <v>1081</v>
      </c>
      <c r="E482" s="90" t="s">
        <v>1044</v>
      </c>
    </row>
    <row r="483" spans="2:5">
      <c r="B483" s="88">
        <v>570</v>
      </c>
      <c r="D483" s="90" t="s">
        <v>1082</v>
      </c>
      <c r="E483" s="90" t="s">
        <v>1060</v>
      </c>
    </row>
    <row r="484" spans="2:5">
      <c r="B484" s="88">
        <v>571</v>
      </c>
      <c r="D484" s="90" t="s">
        <v>1083</v>
      </c>
      <c r="E484" s="90" t="s">
        <v>1045</v>
      </c>
    </row>
    <row r="485" spans="2:5">
      <c r="B485" s="88">
        <v>572</v>
      </c>
      <c r="D485" s="90" t="s">
        <v>1061</v>
      </c>
      <c r="E485" s="90" t="s">
        <v>1062</v>
      </c>
    </row>
    <row r="486" spans="2:5">
      <c r="B486" s="88">
        <v>573</v>
      </c>
      <c r="D486" s="90" t="s">
        <v>1068</v>
      </c>
      <c r="E486" s="90" t="s">
        <v>1063</v>
      </c>
    </row>
    <row r="487" spans="2:5">
      <c r="B487" s="88">
        <v>574</v>
      </c>
      <c r="D487" s="90" t="s">
        <v>1064</v>
      </c>
      <c r="E487" s="90" t="s">
        <v>1065</v>
      </c>
    </row>
    <row r="488" spans="2:5">
      <c r="B488" s="88">
        <v>575</v>
      </c>
      <c r="D488" s="90" t="s">
        <v>1066</v>
      </c>
      <c r="E488" s="90" t="s">
        <v>1067</v>
      </c>
    </row>
    <row r="489" spans="2:5">
      <c r="B489" s="88">
        <v>576</v>
      </c>
      <c r="D489" s="90" t="s">
        <v>1064</v>
      </c>
      <c r="E489" s="90" t="s">
        <v>1065</v>
      </c>
    </row>
    <row r="490" spans="2:5">
      <c r="B490" s="88">
        <v>577</v>
      </c>
      <c r="D490" s="90" t="s">
        <v>1069</v>
      </c>
      <c r="E490" s="90" t="s">
        <v>1070</v>
      </c>
    </row>
    <row r="491" spans="2:5">
      <c r="B491" s="88">
        <v>578</v>
      </c>
      <c r="D491" s="90" t="s">
        <v>1071</v>
      </c>
      <c r="E491" s="90" t="s">
        <v>1072</v>
      </c>
    </row>
    <row r="492" spans="2:5">
      <c r="B492" s="88">
        <v>579</v>
      </c>
      <c r="D492" s="90" t="s">
        <v>1104</v>
      </c>
      <c r="E492" s="90" t="s">
        <v>1105</v>
      </c>
    </row>
    <row r="493" spans="2:5">
      <c r="B493" s="88">
        <v>580</v>
      </c>
      <c r="D493" s="90" t="s">
        <v>1106</v>
      </c>
      <c r="E493" s="90" t="s">
        <v>1106</v>
      </c>
    </row>
    <row r="494" spans="2:5">
      <c r="B494" s="88">
        <v>581</v>
      </c>
      <c r="D494" s="90" t="s">
        <v>1107</v>
      </c>
      <c r="E494" s="90" t="s">
        <v>1108</v>
      </c>
    </row>
    <row r="495" spans="2:5">
      <c r="B495" s="88">
        <v>582</v>
      </c>
      <c r="D495" s="90" t="s">
        <v>1109</v>
      </c>
      <c r="E495" s="90" t="s">
        <v>1110</v>
      </c>
    </row>
    <row r="496" spans="2:5">
      <c r="B496" s="88">
        <v>583</v>
      </c>
      <c r="D496" s="90" t="s">
        <v>1144</v>
      </c>
      <c r="E496" s="90" t="s">
        <v>1145</v>
      </c>
    </row>
    <row r="497" spans="2:6">
      <c r="B497" s="88">
        <v>584</v>
      </c>
      <c r="C497" s="89" t="s">
        <v>1157</v>
      </c>
      <c r="D497" s="90" t="s">
        <v>1207</v>
      </c>
      <c r="E497" s="90" t="s">
        <v>1156</v>
      </c>
    </row>
    <row r="498" spans="2:6">
      <c r="B498" s="88">
        <v>585</v>
      </c>
      <c r="C498" s="89" t="s">
        <v>1157</v>
      </c>
      <c r="D498" s="90" t="s">
        <v>1208</v>
      </c>
      <c r="E498" s="90" t="s">
        <v>1158</v>
      </c>
    </row>
    <row r="499" spans="2:6">
      <c r="B499" s="88">
        <v>586</v>
      </c>
      <c r="C499" s="89" t="s">
        <v>1157</v>
      </c>
      <c r="D499" s="90" t="s">
        <v>1209</v>
      </c>
      <c r="E499" s="90" t="s">
        <v>1160</v>
      </c>
      <c r="F499" s="87">
        <f t="shared" ref="F499:F531" si="0">LEN(D499)</f>
        <v>6</v>
      </c>
    </row>
    <row r="500" spans="2:6" ht="26.4">
      <c r="B500" s="88">
        <v>587</v>
      </c>
      <c r="C500" s="89" t="s">
        <v>1157</v>
      </c>
      <c r="D500" s="90" t="s">
        <v>1210</v>
      </c>
      <c r="E500" s="90" t="s">
        <v>1161</v>
      </c>
      <c r="F500" s="87">
        <f t="shared" si="0"/>
        <v>129</v>
      </c>
    </row>
    <row r="501" spans="2:6">
      <c r="B501" s="88">
        <v>588</v>
      </c>
      <c r="C501" s="89" t="s">
        <v>1157</v>
      </c>
      <c r="D501" s="90" t="s">
        <v>1212</v>
      </c>
      <c r="E501" s="90" t="s">
        <v>1162</v>
      </c>
      <c r="F501" s="87">
        <f t="shared" si="0"/>
        <v>41</v>
      </c>
    </row>
    <row r="502" spans="2:6" ht="26.4">
      <c r="B502" s="88">
        <v>589</v>
      </c>
      <c r="C502" s="89" t="s">
        <v>1157</v>
      </c>
      <c r="D502" s="90" t="s">
        <v>1211</v>
      </c>
      <c r="E502" s="90" t="s">
        <v>1163</v>
      </c>
      <c r="F502" s="87">
        <f t="shared" si="0"/>
        <v>86</v>
      </c>
    </row>
    <row r="503" spans="2:6">
      <c r="B503" s="88">
        <v>590</v>
      </c>
      <c r="C503" s="89" t="s">
        <v>1157</v>
      </c>
      <c r="D503" s="90" t="s">
        <v>1213</v>
      </c>
      <c r="E503" s="90" t="s">
        <v>1164</v>
      </c>
      <c r="F503" s="87">
        <f t="shared" si="0"/>
        <v>21</v>
      </c>
    </row>
    <row r="504" spans="2:6" ht="26.4">
      <c r="B504" s="88">
        <v>591</v>
      </c>
      <c r="C504" s="89" t="s">
        <v>1157</v>
      </c>
      <c r="D504" s="90" t="s">
        <v>1215</v>
      </c>
      <c r="E504" s="90" t="s">
        <v>1214</v>
      </c>
      <c r="F504" s="87">
        <f t="shared" si="0"/>
        <v>113</v>
      </c>
    </row>
    <row r="505" spans="2:6" ht="26.4">
      <c r="B505" s="88">
        <v>592</v>
      </c>
      <c r="C505" s="89" t="s">
        <v>1157</v>
      </c>
      <c r="D505" s="90" t="s">
        <v>1216</v>
      </c>
      <c r="E505" s="90" t="s">
        <v>1165</v>
      </c>
      <c r="F505" s="87">
        <f t="shared" si="0"/>
        <v>90</v>
      </c>
    </row>
    <row r="506" spans="2:6">
      <c r="B506" s="88">
        <v>593</v>
      </c>
      <c r="C506" s="89" t="s">
        <v>1157</v>
      </c>
      <c r="D506" s="90" t="s">
        <v>1203</v>
      </c>
      <c r="E506" s="90" t="s">
        <v>1166</v>
      </c>
      <c r="F506" s="87">
        <f t="shared" si="0"/>
        <v>55</v>
      </c>
    </row>
    <row r="507" spans="2:6">
      <c r="B507" s="88">
        <v>594</v>
      </c>
      <c r="C507" s="89" t="s">
        <v>1157</v>
      </c>
      <c r="D507" s="90" t="s">
        <v>1204</v>
      </c>
      <c r="E507" s="90" t="s">
        <v>1167</v>
      </c>
      <c r="F507" s="87">
        <f t="shared" si="0"/>
        <v>10</v>
      </c>
    </row>
    <row r="508" spans="2:6">
      <c r="B508" s="88">
        <v>595</v>
      </c>
      <c r="C508" s="89" t="s">
        <v>1157</v>
      </c>
      <c r="D508" s="90" t="s">
        <v>1245</v>
      </c>
      <c r="E508" s="90" t="s">
        <v>1168</v>
      </c>
      <c r="F508" s="87">
        <f t="shared" si="0"/>
        <v>28</v>
      </c>
    </row>
    <row r="509" spans="2:6">
      <c r="B509" s="88">
        <v>596</v>
      </c>
      <c r="C509" s="89" t="s">
        <v>1157</v>
      </c>
      <c r="D509" s="90" t="s">
        <v>1217</v>
      </c>
      <c r="E509" s="90" t="s">
        <v>1169</v>
      </c>
      <c r="F509" s="87">
        <f t="shared" si="0"/>
        <v>27</v>
      </c>
    </row>
    <row r="510" spans="2:6">
      <c r="B510" s="88">
        <v>597</v>
      </c>
      <c r="C510" s="89" t="s">
        <v>1157</v>
      </c>
      <c r="D510" s="90" t="s">
        <v>1218</v>
      </c>
      <c r="E510" s="90" t="s">
        <v>1170</v>
      </c>
      <c r="F510" s="87">
        <f t="shared" si="0"/>
        <v>33</v>
      </c>
    </row>
    <row r="511" spans="2:6">
      <c r="B511" s="88">
        <v>598</v>
      </c>
      <c r="C511" s="89" t="s">
        <v>1157</v>
      </c>
      <c r="D511" s="90" t="s">
        <v>1219</v>
      </c>
      <c r="E511" s="90" t="s">
        <v>1171</v>
      </c>
      <c r="F511" s="87">
        <f t="shared" si="0"/>
        <v>33</v>
      </c>
    </row>
    <row r="512" spans="2:6">
      <c r="B512" s="88">
        <v>599</v>
      </c>
      <c r="C512" s="89" t="s">
        <v>1157</v>
      </c>
      <c r="D512" s="90" t="s">
        <v>1220</v>
      </c>
      <c r="E512" s="90" t="s">
        <v>1172</v>
      </c>
      <c r="F512" s="87">
        <f t="shared" si="0"/>
        <v>15</v>
      </c>
    </row>
    <row r="513" spans="2:6">
      <c r="B513" s="88">
        <v>600</v>
      </c>
      <c r="C513" s="89" t="s">
        <v>1157</v>
      </c>
      <c r="D513" s="90" t="s">
        <v>1222</v>
      </c>
      <c r="E513" s="90" t="s">
        <v>579</v>
      </c>
      <c r="F513" s="87">
        <f t="shared" si="0"/>
        <v>15</v>
      </c>
    </row>
    <row r="514" spans="2:6">
      <c r="B514" s="88">
        <v>601</v>
      </c>
      <c r="C514" s="89" t="s">
        <v>1157</v>
      </c>
      <c r="D514" s="90" t="s">
        <v>1221</v>
      </c>
      <c r="E514" s="90" t="s">
        <v>1173</v>
      </c>
      <c r="F514" s="87">
        <f t="shared" si="0"/>
        <v>12</v>
      </c>
    </row>
    <row r="515" spans="2:6">
      <c r="B515" s="88">
        <v>602</v>
      </c>
      <c r="C515" s="89" t="s">
        <v>1157</v>
      </c>
      <c r="D515" s="90" t="s">
        <v>1223</v>
      </c>
      <c r="E515" s="90" t="s">
        <v>1174</v>
      </c>
      <c r="F515" s="87">
        <f t="shared" si="0"/>
        <v>42</v>
      </c>
    </row>
    <row r="516" spans="2:6">
      <c r="B516" s="88">
        <v>603</v>
      </c>
      <c r="C516" s="89" t="s">
        <v>1157</v>
      </c>
      <c r="D516" s="90" t="s">
        <v>1205</v>
      </c>
      <c r="E516" s="90" t="s">
        <v>1175</v>
      </c>
      <c r="F516" s="87">
        <f t="shared" si="0"/>
        <v>20</v>
      </c>
    </row>
    <row r="517" spans="2:6">
      <c r="B517" s="88">
        <v>604</v>
      </c>
      <c r="C517" s="89" t="s">
        <v>1157</v>
      </c>
      <c r="D517" s="90" t="s">
        <v>1224</v>
      </c>
      <c r="E517" s="90" t="s">
        <v>1176</v>
      </c>
      <c r="F517" s="87">
        <f t="shared" si="0"/>
        <v>37</v>
      </c>
    </row>
    <row r="518" spans="2:6">
      <c r="B518" s="88">
        <v>605</v>
      </c>
      <c r="C518" s="89" t="s">
        <v>1157</v>
      </c>
      <c r="D518" s="90" t="s">
        <v>1225</v>
      </c>
      <c r="E518" s="90" t="s">
        <v>1187</v>
      </c>
      <c r="F518" s="87">
        <f t="shared" si="0"/>
        <v>8</v>
      </c>
    </row>
    <row r="519" spans="2:6">
      <c r="B519" s="88">
        <v>606</v>
      </c>
      <c r="C519" s="89" t="s">
        <v>1157</v>
      </c>
      <c r="D519" s="90" t="s">
        <v>1226</v>
      </c>
      <c r="E519" s="90" t="s">
        <v>1188</v>
      </c>
      <c r="F519" s="87">
        <f t="shared" si="0"/>
        <v>31</v>
      </c>
    </row>
    <row r="520" spans="2:6">
      <c r="B520" s="88">
        <v>607</v>
      </c>
      <c r="C520" s="89" t="s">
        <v>1157</v>
      </c>
      <c r="D520" s="90" t="s">
        <v>1227</v>
      </c>
      <c r="E520" s="90" t="s">
        <v>1177</v>
      </c>
      <c r="F520" s="87">
        <f t="shared" si="0"/>
        <v>21</v>
      </c>
    </row>
    <row r="521" spans="2:6" ht="26.4">
      <c r="B521" s="88">
        <v>608</v>
      </c>
      <c r="C521" s="89" t="s">
        <v>1157</v>
      </c>
      <c r="D521" s="90" t="s">
        <v>1246</v>
      </c>
      <c r="E521" s="90" t="s">
        <v>1178</v>
      </c>
      <c r="F521" s="87">
        <f t="shared" si="0"/>
        <v>93</v>
      </c>
    </row>
    <row r="522" spans="2:6" ht="26.4">
      <c r="B522" s="88">
        <v>609</v>
      </c>
      <c r="C522" s="89" t="s">
        <v>1157</v>
      </c>
      <c r="D522" s="90" t="s">
        <v>1228</v>
      </c>
      <c r="E522" s="90" t="s">
        <v>1179</v>
      </c>
      <c r="F522" s="87">
        <f t="shared" si="0"/>
        <v>162</v>
      </c>
    </row>
    <row r="523" spans="2:6">
      <c r="B523" s="88">
        <v>610</v>
      </c>
      <c r="C523" s="89" t="s">
        <v>1157</v>
      </c>
      <c r="D523" s="90" t="s">
        <v>1230</v>
      </c>
      <c r="E523" s="90" t="s">
        <v>1229</v>
      </c>
      <c r="F523" s="87">
        <f t="shared" si="0"/>
        <v>82</v>
      </c>
    </row>
    <row r="524" spans="2:6">
      <c r="B524" s="88">
        <v>611</v>
      </c>
      <c r="C524" s="89" t="s">
        <v>1157</v>
      </c>
      <c r="D524" s="90" t="s">
        <v>1231</v>
      </c>
      <c r="E524" s="90" t="s">
        <v>1180</v>
      </c>
      <c r="F524" s="87">
        <f t="shared" si="0"/>
        <v>72</v>
      </c>
    </row>
    <row r="525" spans="2:6" ht="26.4">
      <c r="B525" s="88">
        <v>612</v>
      </c>
      <c r="C525" s="89" t="s">
        <v>1157</v>
      </c>
      <c r="D525" s="90" t="s">
        <v>1233</v>
      </c>
      <c r="E525" s="90" t="s">
        <v>1232</v>
      </c>
      <c r="F525" s="87">
        <f t="shared" si="0"/>
        <v>123</v>
      </c>
    </row>
    <row r="526" spans="2:6" ht="39.6">
      <c r="B526" s="88">
        <v>613</v>
      </c>
      <c r="C526" s="89" t="s">
        <v>1157</v>
      </c>
      <c r="D526" s="90" t="s">
        <v>1234</v>
      </c>
      <c r="E526" s="90" t="s">
        <v>1181</v>
      </c>
      <c r="F526" s="87">
        <f t="shared" si="0"/>
        <v>64</v>
      </c>
    </row>
    <row r="527" spans="2:6" ht="26.4">
      <c r="B527" s="88">
        <v>614</v>
      </c>
      <c r="C527" s="89" t="s">
        <v>1157</v>
      </c>
      <c r="D527" s="90" t="s">
        <v>1235</v>
      </c>
      <c r="E527" s="90" t="s">
        <v>1182</v>
      </c>
      <c r="F527" s="87">
        <f t="shared" si="0"/>
        <v>70</v>
      </c>
    </row>
    <row r="528" spans="2:6" ht="26.4">
      <c r="B528" s="88">
        <v>615</v>
      </c>
      <c r="C528" s="89" t="s">
        <v>1157</v>
      </c>
      <c r="D528" s="90" t="s">
        <v>1265</v>
      </c>
      <c r="E528" s="90" t="s">
        <v>1183</v>
      </c>
      <c r="F528" s="87">
        <f t="shared" si="0"/>
        <v>89</v>
      </c>
    </row>
    <row r="529" spans="2:6">
      <c r="B529" s="88">
        <v>616</v>
      </c>
      <c r="C529" s="89" t="s">
        <v>1157</v>
      </c>
      <c r="D529" s="90" t="s">
        <v>1237</v>
      </c>
      <c r="E529" s="90" t="s">
        <v>1185</v>
      </c>
      <c r="F529" s="87">
        <f t="shared" si="0"/>
        <v>83</v>
      </c>
    </row>
    <row r="530" spans="2:6" ht="39.6">
      <c r="B530" s="88">
        <v>617</v>
      </c>
      <c r="C530" s="89" t="s">
        <v>1157</v>
      </c>
      <c r="D530" s="90" t="s">
        <v>1239</v>
      </c>
      <c r="E530" s="90" t="s">
        <v>1186</v>
      </c>
      <c r="F530" s="87">
        <f t="shared" si="0"/>
        <v>67</v>
      </c>
    </row>
    <row r="531" spans="2:6">
      <c r="B531" s="88">
        <v>618</v>
      </c>
      <c r="C531" s="89" t="s">
        <v>1157</v>
      </c>
      <c r="D531" s="90" t="s">
        <v>1242</v>
      </c>
      <c r="E531" s="90" t="s">
        <v>1243</v>
      </c>
      <c r="F531" s="87">
        <f t="shared" si="0"/>
        <v>34</v>
      </c>
    </row>
    <row r="532" spans="2:6">
      <c r="B532" s="88">
        <v>619</v>
      </c>
      <c r="C532" s="89" t="s">
        <v>1157</v>
      </c>
      <c r="D532" s="90" t="s">
        <v>1206</v>
      </c>
      <c r="E532" s="90" t="s">
        <v>1190</v>
      </c>
    </row>
    <row r="533" spans="2:6">
      <c r="B533" s="88">
        <v>620</v>
      </c>
      <c r="C533" s="89" t="s">
        <v>1157</v>
      </c>
      <c r="D533" s="112" t="s">
        <v>1247</v>
      </c>
      <c r="E533" s="112" t="s">
        <v>1191</v>
      </c>
    </row>
    <row r="534" spans="2:6">
      <c r="B534" s="88">
        <v>621</v>
      </c>
      <c r="C534" s="89" t="s">
        <v>1157</v>
      </c>
      <c r="D534" s="112" t="s">
        <v>1248</v>
      </c>
      <c r="E534" s="112" t="s">
        <v>1192</v>
      </c>
    </row>
    <row r="535" spans="2:6">
      <c r="B535" s="88">
        <v>622</v>
      </c>
      <c r="C535" s="89" t="s">
        <v>1157</v>
      </c>
      <c r="D535" s="112" t="s">
        <v>1249</v>
      </c>
      <c r="E535" s="90" t="s">
        <v>1193</v>
      </c>
    </row>
    <row r="536" spans="2:6">
      <c r="B536" s="88">
        <v>623</v>
      </c>
      <c r="C536" s="89" t="s">
        <v>1157</v>
      </c>
      <c r="D536" s="112" t="s">
        <v>1250</v>
      </c>
      <c r="E536" s="90" t="s">
        <v>1194</v>
      </c>
    </row>
    <row r="537" spans="2:6">
      <c r="B537" s="88">
        <v>624</v>
      </c>
      <c r="C537" s="89" t="s">
        <v>1157</v>
      </c>
      <c r="D537" s="112" t="s">
        <v>1251</v>
      </c>
      <c r="E537" s="90" t="s">
        <v>1195</v>
      </c>
    </row>
    <row r="538" spans="2:6">
      <c r="B538" s="88">
        <v>625</v>
      </c>
      <c r="C538" s="89" t="s">
        <v>1157</v>
      </c>
      <c r="D538" s="112" t="s">
        <v>1252</v>
      </c>
      <c r="E538" s="90" t="s">
        <v>1196</v>
      </c>
    </row>
    <row r="539" spans="2:6">
      <c r="B539" s="88">
        <v>626</v>
      </c>
      <c r="C539" s="89" t="s">
        <v>1157</v>
      </c>
      <c r="D539" s="112" t="s">
        <v>1253</v>
      </c>
      <c r="E539" s="90" t="s">
        <v>1197</v>
      </c>
    </row>
    <row r="540" spans="2:6">
      <c r="B540" s="88">
        <v>627</v>
      </c>
      <c r="C540" s="89" t="s">
        <v>1157</v>
      </c>
      <c r="D540" s="112" t="s">
        <v>1254</v>
      </c>
      <c r="E540" s="90" t="s">
        <v>1198</v>
      </c>
    </row>
    <row r="541" spans="2:6">
      <c r="B541" s="88">
        <v>628</v>
      </c>
      <c r="C541" s="89" t="s">
        <v>1157</v>
      </c>
      <c r="D541" s="112" t="s">
        <v>1255</v>
      </c>
      <c r="E541" s="90" t="s">
        <v>1199</v>
      </c>
    </row>
    <row r="542" spans="2:6">
      <c r="B542" s="88">
        <v>629</v>
      </c>
      <c r="C542" s="89" t="s">
        <v>1157</v>
      </c>
      <c r="D542" s="112" t="s">
        <v>1256</v>
      </c>
      <c r="E542" s="90" t="s">
        <v>1200</v>
      </c>
    </row>
    <row r="543" spans="2:6">
      <c r="B543" s="88">
        <v>630</v>
      </c>
      <c r="C543" s="89" t="s">
        <v>1157</v>
      </c>
      <c r="D543" s="112" t="s">
        <v>1257</v>
      </c>
      <c r="E543" s="90" t="s">
        <v>1201</v>
      </c>
    </row>
    <row r="544" spans="2:6">
      <c r="B544" s="88">
        <v>631</v>
      </c>
      <c r="C544" s="89" t="s">
        <v>1157</v>
      </c>
      <c r="D544" s="112" t="s">
        <v>1258</v>
      </c>
      <c r="E544" s="90" t="s">
        <v>1202</v>
      </c>
    </row>
    <row r="545" spans="2:5">
      <c r="B545" s="88">
        <v>632</v>
      </c>
      <c r="C545" s="89" t="s">
        <v>1157</v>
      </c>
      <c r="D545" s="112" t="s">
        <v>1259</v>
      </c>
      <c r="E545" s="112" t="s">
        <v>1260</v>
      </c>
    </row>
    <row r="546" spans="2:5">
      <c r="B546" s="88">
        <v>633</v>
      </c>
      <c r="C546" s="89" t="s">
        <v>1157</v>
      </c>
      <c r="D546" s="112" t="s">
        <v>1261</v>
      </c>
      <c r="E546" s="112" t="s">
        <v>1262</v>
      </c>
    </row>
    <row r="547" spans="2:5">
      <c r="B547" s="88">
        <v>634</v>
      </c>
      <c r="D547" s="90" t="s">
        <v>1272</v>
      </c>
      <c r="E547" s="90" t="s">
        <v>1392</v>
      </c>
    </row>
    <row r="548" spans="2:5">
      <c r="B548" s="88">
        <v>635</v>
      </c>
      <c r="D548" s="90" t="s">
        <v>1273</v>
      </c>
      <c r="E548" s="90" t="s">
        <v>1393</v>
      </c>
    </row>
    <row r="549" spans="2:5">
      <c r="B549" s="88">
        <v>636</v>
      </c>
      <c r="D549" s="90" t="s">
        <v>1274</v>
      </c>
      <c r="E549" s="90" t="s">
        <v>1275</v>
      </c>
    </row>
    <row r="550" spans="2:5">
      <c r="B550" s="88">
        <v>637</v>
      </c>
      <c r="D550" s="90" t="s">
        <v>1269</v>
      </c>
      <c r="E550" s="90" t="s">
        <v>1270</v>
      </c>
    </row>
    <row r="551" spans="2:5">
      <c r="B551" s="88">
        <v>638</v>
      </c>
      <c r="D551" s="90" t="s">
        <v>1394</v>
      </c>
      <c r="E551" s="90" t="s">
        <v>1395</v>
      </c>
    </row>
    <row r="552" spans="2:5">
      <c r="B552" s="88">
        <v>639</v>
      </c>
      <c r="D552" s="90" t="s">
        <v>1279</v>
      </c>
      <c r="E552" s="90" t="s">
        <v>1281</v>
      </c>
    </row>
    <row r="553" spans="2:5">
      <c r="B553" s="88">
        <v>640</v>
      </c>
      <c r="D553" s="90" t="s">
        <v>1280</v>
      </c>
      <c r="E553" s="90" t="s">
        <v>1282</v>
      </c>
    </row>
    <row r="554" spans="2:5">
      <c r="B554" s="88">
        <v>641</v>
      </c>
      <c r="D554" s="90" t="s">
        <v>1432</v>
      </c>
      <c r="E554" s="90" t="s">
        <v>1433</v>
      </c>
    </row>
    <row r="555" spans="2:5">
      <c r="B555" s="88">
        <v>642</v>
      </c>
      <c r="D555" s="90" t="s">
        <v>1276</v>
      </c>
      <c r="E555" s="90" t="s">
        <v>1283</v>
      </c>
    </row>
    <row r="556" spans="2:5">
      <c r="B556" s="88">
        <v>643</v>
      </c>
      <c r="D556" s="90" t="s">
        <v>1277</v>
      </c>
      <c r="E556" s="90" t="s">
        <v>1285</v>
      </c>
    </row>
    <row r="557" spans="2:5">
      <c r="B557" s="88">
        <v>644</v>
      </c>
      <c r="D557" s="90" t="s">
        <v>1278</v>
      </c>
      <c r="E557" s="90" t="s">
        <v>1284</v>
      </c>
    </row>
    <row r="558" spans="2:5">
      <c r="B558" s="88">
        <v>645</v>
      </c>
      <c r="D558" s="90" t="s">
        <v>1430</v>
      </c>
      <c r="E558" s="90" t="s">
        <v>1431</v>
      </c>
    </row>
    <row r="559" spans="2:5">
      <c r="B559" s="88">
        <v>646</v>
      </c>
      <c r="D559" s="90" t="s">
        <v>1309</v>
      </c>
      <c r="E559" s="90" t="s">
        <v>1306</v>
      </c>
    </row>
    <row r="560" spans="2:5">
      <c r="B560" s="88">
        <v>647</v>
      </c>
      <c r="D560" s="90" t="s">
        <v>1286</v>
      </c>
      <c r="E560" s="90" t="s">
        <v>1287</v>
      </c>
    </row>
    <row r="561" spans="2:5">
      <c r="B561" s="88">
        <v>648</v>
      </c>
      <c r="D561" s="90" t="s">
        <v>1308</v>
      </c>
      <c r="E561" s="90" t="s">
        <v>1307</v>
      </c>
    </row>
    <row r="562" spans="2:5">
      <c r="B562" s="88">
        <v>649</v>
      </c>
      <c r="D562" s="90" t="s">
        <v>1288</v>
      </c>
      <c r="E562" s="90" t="s">
        <v>1289</v>
      </c>
    </row>
    <row r="563" spans="2:5">
      <c r="B563" s="88">
        <v>650</v>
      </c>
      <c r="D563" s="90" t="s">
        <v>1295</v>
      </c>
      <c r="E563" s="90" t="s">
        <v>1302</v>
      </c>
    </row>
    <row r="564" spans="2:5">
      <c r="B564" s="88">
        <v>651</v>
      </c>
      <c r="D564" s="90" t="s">
        <v>1296</v>
      </c>
      <c r="E564" s="90" t="s">
        <v>1301</v>
      </c>
    </row>
    <row r="565" spans="2:5">
      <c r="B565" s="88">
        <v>652</v>
      </c>
      <c r="D565" s="90" t="s">
        <v>1297</v>
      </c>
      <c r="E565" s="90" t="s">
        <v>1300</v>
      </c>
    </row>
    <row r="566" spans="2:5">
      <c r="B566" s="88">
        <v>653</v>
      </c>
      <c r="D566" s="90" t="s">
        <v>1434</v>
      </c>
      <c r="E566" s="90" t="s">
        <v>1435</v>
      </c>
    </row>
    <row r="567" spans="2:5">
      <c r="B567" s="88">
        <v>654</v>
      </c>
      <c r="D567" s="90" t="s">
        <v>1298</v>
      </c>
      <c r="E567" s="90" t="s">
        <v>1299</v>
      </c>
    </row>
    <row r="568" spans="2:5" ht="26.4">
      <c r="B568" s="88">
        <v>655</v>
      </c>
      <c r="D568" s="90" t="s">
        <v>1310</v>
      </c>
      <c r="E568" s="90" t="s">
        <v>1311</v>
      </c>
    </row>
    <row r="569" spans="2:5">
      <c r="B569" s="88">
        <v>656</v>
      </c>
      <c r="D569" s="90" t="s">
        <v>1312</v>
      </c>
      <c r="E569" s="90" t="s">
        <v>1313</v>
      </c>
    </row>
    <row r="570" spans="2:5">
      <c r="B570" s="88">
        <v>657</v>
      </c>
      <c r="D570" s="90" t="s">
        <v>1314</v>
      </c>
      <c r="E570" s="90" t="s">
        <v>1315</v>
      </c>
    </row>
    <row r="571" spans="2:5">
      <c r="B571" s="88">
        <v>658</v>
      </c>
      <c r="D571" s="90" t="s">
        <v>1316</v>
      </c>
      <c r="E571" s="90" t="s">
        <v>1317</v>
      </c>
    </row>
  </sheetData>
  <sortState xmlns:xlrd2="http://schemas.microsoft.com/office/spreadsheetml/2017/richdata2" ref="A14:F447">
    <sortCondition ref="E14:E447"/>
  </sortState>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101"/>
  <sheetViews>
    <sheetView topLeftCell="N1" zoomScale="81" zoomScaleNormal="81" workbookViewId="0">
      <selection activeCell="T25" sqref="T25"/>
    </sheetView>
  </sheetViews>
  <sheetFormatPr defaultColWidth="10.59765625" defaultRowHeight="14.4"/>
  <cols>
    <col min="1" max="1" width="9.5" style="140" bestFit="1" customWidth="1"/>
    <col min="2" max="2" width="9.69921875" style="140" bestFit="1" customWidth="1"/>
    <col min="3" max="12" width="11.3984375" style="140" bestFit="1" customWidth="1"/>
    <col min="13" max="13" width="31.8984375" style="140" bestFit="1" customWidth="1"/>
    <col min="14" max="14" width="14.59765625" style="140" bestFit="1" customWidth="1"/>
    <col min="15" max="16" width="10.5" style="140" bestFit="1" customWidth="1"/>
    <col min="17" max="17" width="15.5" style="140" bestFit="1" customWidth="1"/>
    <col min="18" max="18" width="17.09765625" style="140" bestFit="1" customWidth="1"/>
    <col min="19" max="19" width="13.19921875" style="140" bestFit="1" customWidth="1"/>
    <col min="20" max="20" width="19.8984375" style="140" bestFit="1" customWidth="1"/>
    <col min="21" max="21" width="14.3984375" style="140" bestFit="1" customWidth="1"/>
    <col min="22" max="22" width="14.09765625" style="141" bestFit="1" customWidth="1"/>
    <col min="23" max="23" width="15.5" style="140" bestFit="1" customWidth="1"/>
    <col min="24" max="24" width="19.3984375" style="142" bestFit="1" customWidth="1"/>
    <col min="25" max="25" width="9.5" style="142" bestFit="1" customWidth="1"/>
    <col min="26" max="26" width="10.8984375" style="142" bestFit="1" customWidth="1"/>
    <col min="27" max="27" width="10.8984375" style="141" bestFit="1" customWidth="1"/>
    <col min="28" max="28" width="12.5" style="141" bestFit="1" customWidth="1"/>
    <col min="29" max="29" width="12.8984375" style="141" bestFit="1" customWidth="1"/>
    <col min="30" max="30" width="15.69921875" style="140" bestFit="1" customWidth="1"/>
    <col min="31" max="32" width="10.59765625" style="140"/>
    <col min="33" max="16384" width="10.59765625" style="141"/>
  </cols>
  <sheetData>
    <row r="1" spans="1:30">
      <c r="A1" s="144" t="s">
        <v>1103</v>
      </c>
      <c r="B1" s="144" t="s">
        <v>383</v>
      </c>
      <c r="C1" s="144" t="s">
        <v>1091</v>
      </c>
      <c r="D1" s="144" t="s">
        <v>1092</v>
      </c>
      <c r="E1" s="144" t="s">
        <v>1093</v>
      </c>
      <c r="F1" s="144" t="s">
        <v>1094</v>
      </c>
      <c r="G1" s="144" t="s">
        <v>1095</v>
      </c>
      <c r="H1" s="144" t="s">
        <v>1096</v>
      </c>
      <c r="I1" s="144" t="s">
        <v>1097</v>
      </c>
      <c r="J1" s="144" t="s">
        <v>1098</v>
      </c>
      <c r="K1" s="144" t="s">
        <v>1099</v>
      </c>
      <c r="L1" s="144" t="s">
        <v>1100</v>
      </c>
      <c r="M1" s="144" t="s">
        <v>384</v>
      </c>
      <c r="N1" s="144" t="s">
        <v>385</v>
      </c>
      <c r="O1" s="144" t="s">
        <v>386</v>
      </c>
      <c r="P1" s="144" t="s">
        <v>387</v>
      </c>
      <c r="Q1" s="144" t="s">
        <v>1052</v>
      </c>
      <c r="R1" s="144" t="s">
        <v>1053</v>
      </c>
      <c r="S1" s="144" t="s">
        <v>1102</v>
      </c>
      <c r="T1" s="144" t="s">
        <v>1403</v>
      </c>
      <c r="U1" s="144" t="s">
        <v>1030</v>
      </c>
      <c r="V1" s="145" t="s">
        <v>1031</v>
      </c>
      <c r="W1" s="144" t="s">
        <v>1033</v>
      </c>
      <c r="X1" s="146" t="s">
        <v>1303</v>
      </c>
      <c r="Y1" s="146" t="s">
        <v>1034</v>
      </c>
      <c r="Z1" s="146" t="s">
        <v>1035</v>
      </c>
      <c r="AA1" s="145" t="s">
        <v>1054</v>
      </c>
      <c r="AB1" s="145" t="s">
        <v>1055</v>
      </c>
      <c r="AC1" s="145" t="s">
        <v>1088</v>
      </c>
      <c r="AD1" s="144" t="s">
        <v>1032</v>
      </c>
    </row>
    <row r="2" spans="1:30">
      <c r="A2" s="143" t="s">
        <v>1118</v>
      </c>
      <c r="B2" s="143" t="s">
        <v>1112</v>
      </c>
      <c r="C2" s="143" t="s">
        <v>1037</v>
      </c>
      <c r="D2" s="143" t="s">
        <v>1111</v>
      </c>
      <c r="E2" s="143" t="s">
        <v>1112</v>
      </c>
      <c r="M2" s="143" t="s">
        <v>1474</v>
      </c>
      <c r="N2" s="143" t="s">
        <v>1477</v>
      </c>
      <c r="O2" s="139">
        <v>44026</v>
      </c>
      <c r="P2" s="139">
        <v>44027</v>
      </c>
      <c r="Q2" s="139">
        <v>44026</v>
      </c>
      <c r="R2" s="139">
        <v>44030</v>
      </c>
      <c r="S2" s="140">
        <v>29</v>
      </c>
      <c r="T2" s="140">
        <v>1</v>
      </c>
      <c r="U2" s="140">
        <v>2</v>
      </c>
      <c r="V2" s="141">
        <v>2</v>
      </c>
      <c r="W2" s="140">
        <v>0</v>
      </c>
      <c r="X2" s="142">
        <v>1</v>
      </c>
      <c r="Y2" s="142">
        <v>1</v>
      </c>
      <c r="Z2" s="142">
        <v>1</v>
      </c>
      <c r="AC2" s="141">
        <v>2</v>
      </c>
    </row>
    <row r="3" spans="1:30">
      <c r="A3" s="143" t="s">
        <v>1118</v>
      </c>
      <c r="B3" s="143" t="s">
        <v>1112</v>
      </c>
      <c r="C3" s="143" t="s">
        <v>1037</v>
      </c>
      <c r="D3" s="143" t="s">
        <v>1111</v>
      </c>
      <c r="E3" s="143" t="s">
        <v>1112</v>
      </c>
      <c r="M3" s="143" t="s">
        <v>1474</v>
      </c>
      <c r="N3" s="143" t="s">
        <v>1548</v>
      </c>
      <c r="O3" s="139">
        <v>44026</v>
      </c>
      <c r="P3" s="139">
        <v>44027</v>
      </c>
      <c r="Q3" s="139">
        <v>44026</v>
      </c>
      <c r="R3" s="139">
        <v>44030</v>
      </c>
      <c r="S3" s="140">
        <v>29</v>
      </c>
      <c r="T3" s="140">
        <v>1</v>
      </c>
      <c r="U3" s="140">
        <v>2</v>
      </c>
      <c r="V3" s="141">
        <v>2</v>
      </c>
      <c r="W3" s="140">
        <v>0</v>
      </c>
      <c r="X3" s="142">
        <v>1</v>
      </c>
      <c r="Y3" s="142">
        <v>1</v>
      </c>
      <c r="Z3" s="142">
        <v>1</v>
      </c>
      <c r="AC3" s="141">
        <v>2</v>
      </c>
    </row>
    <row r="4" spans="1:30">
      <c r="A4" s="143" t="s">
        <v>1119</v>
      </c>
      <c r="B4" s="143" t="s">
        <v>1475</v>
      </c>
      <c r="C4" s="143" t="s">
        <v>1037</v>
      </c>
      <c r="D4" s="143" t="s">
        <v>1111</v>
      </c>
      <c r="E4" s="143" t="s">
        <v>1113</v>
      </c>
      <c r="F4" s="143" t="s">
        <v>1475</v>
      </c>
      <c r="M4" s="143" t="s">
        <v>1476</v>
      </c>
      <c r="N4" s="143" t="s">
        <v>1477</v>
      </c>
      <c r="O4" s="139">
        <v>44030</v>
      </c>
      <c r="P4" s="139">
        <v>44036</v>
      </c>
      <c r="Q4" s="139">
        <v>44026</v>
      </c>
      <c r="R4" s="139">
        <v>44030</v>
      </c>
      <c r="S4" s="140">
        <v>29</v>
      </c>
      <c r="T4" s="140">
        <v>1</v>
      </c>
      <c r="U4" s="140">
        <v>0</v>
      </c>
      <c r="V4" s="141">
        <v>0</v>
      </c>
      <c r="W4" s="140">
        <v>0</v>
      </c>
      <c r="X4" s="142">
        <v>1</v>
      </c>
      <c r="Y4" s="142">
        <v>1</v>
      </c>
      <c r="Z4" s="142">
        <v>1</v>
      </c>
      <c r="AC4" s="141">
        <v>0</v>
      </c>
    </row>
    <row r="5" spans="1:30">
      <c r="A5" s="143" t="s">
        <v>1119</v>
      </c>
      <c r="B5" s="143" t="s">
        <v>1475</v>
      </c>
      <c r="C5" s="143" t="s">
        <v>1037</v>
      </c>
      <c r="D5" s="143" t="s">
        <v>1111</v>
      </c>
      <c r="E5" s="143" t="s">
        <v>1113</v>
      </c>
      <c r="F5" s="143" t="s">
        <v>1475</v>
      </c>
      <c r="M5" s="143" t="s">
        <v>1476</v>
      </c>
      <c r="N5" s="143" t="s">
        <v>1477</v>
      </c>
      <c r="O5" s="139">
        <v>44030</v>
      </c>
      <c r="P5" s="139">
        <v>44036</v>
      </c>
      <c r="Q5" s="139">
        <v>44031</v>
      </c>
      <c r="R5" s="139">
        <v>44037</v>
      </c>
      <c r="S5" s="140">
        <v>30</v>
      </c>
      <c r="T5" s="140">
        <v>2</v>
      </c>
      <c r="U5" s="140">
        <v>5</v>
      </c>
      <c r="V5" s="141">
        <v>5</v>
      </c>
      <c r="W5" s="140">
        <v>0</v>
      </c>
      <c r="X5" s="142">
        <v>1</v>
      </c>
      <c r="Y5" s="142">
        <v>1</v>
      </c>
      <c r="Z5" s="142">
        <v>1</v>
      </c>
      <c r="AC5" s="141">
        <v>5</v>
      </c>
    </row>
    <row r="6" spans="1:30">
      <c r="A6" s="143" t="s">
        <v>1119</v>
      </c>
      <c r="B6" s="143" t="s">
        <v>1478</v>
      </c>
      <c r="C6" s="143" t="s">
        <v>1037</v>
      </c>
      <c r="D6" s="143" t="s">
        <v>1111</v>
      </c>
      <c r="E6" s="143" t="s">
        <v>1113</v>
      </c>
      <c r="F6" s="143" t="s">
        <v>1478</v>
      </c>
      <c r="M6" s="143" t="s">
        <v>1479</v>
      </c>
      <c r="N6" s="143" t="s">
        <v>1477</v>
      </c>
      <c r="O6" s="139">
        <v>44048</v>
      </c>
      <c r="P6" s="139">
        <v>44048</v>
      </c>
      <c r="Q6" s="139">
        <v>44045</v>
      </c>
      <c r="R6" s="139">
        <v>44051</v>
      </c>
      <c r="S6" s="140">
        <v>32</v>
      </c>
      <c r="T6" s="140">
        <v>4</v>
      </c>
      <c r="U6" s="140">
        <v>0</v>
      </c>
      <c r="V6" s="141">
        <v>0</v>
      </c>
      <c r="W6" s="140">
        <v>0</v>
      </c>
      <c r="X6" s="142">
        <v>0</v>
      </c>
      <c r="Y6" s="142">
        <v>0</v>
      </c>
      <c r="Z6" s="142">
        <v>1</v>
      </c>
      <c r="AC6" s="141">
        <v>0</v>
      </c>
    </row>
    <row r="7" spans="1:30">
      <c r="A7" s="143" t="s">
        <v>1118</v>
      </c>
      <c r="B7" s="143" t="s">
        <v>1115</v>
      </c>
      <c r="C7" s="143" t="s">
        <v>1037</v>
      </c>
      <c r="D7" s="143" t="s">
        <v>1114</v>
      </c>
      <c r="E7" s="143" t="s">
        <v>1115</v>
      </c>
      <c r="M7" s="143" t="s">
        <v>1480</v>
      </c>
      <c r="N7" s="143" t="s">
        <v>1549</v>
      </c>
      <c r="O7" s="139">
        <v>44051</v>
      </c>
      <c r="P7" s="139">
        <v>44055</v>
      </c>
      <c r="Q7" s="139">
        <v>44045</v>
      </c>
      <c r="R7" s="139">
        <v>44051</v>
      </c>
      <c r="S7" s="140">
        <v>32</v>
      </c>
      <c r="T7" s="140">
        <v>4</v>
      </c>
      <c r="U7" s="140">
        <v>0</v>
      </c>
      <c r="V7" s="141">
        <v>0</v>
      </c>
      <c r="W7" s="140">
        <v>0</v>
      </c>
      <c r="X7" s="142">
        <v>0.2</v>
      </c>
      <c r="Y7" s="142">
        <v>0</v>
      </c>
      <c r="Z7" s="142">
        <v>1</v>
      </c>
      <c r="AC7" s="141">
        <v>0</v>
      </c>
    </row>
    <row r="8" spans="1:30">
      <c r="A8" s="143" t="s">
        <v>1118</v>
      </c>
      <c r="B8" s="143" t="s">
        <v>1115</v>
      </c>
      <c r="C8" s="143" t="s">
        <v>1037</v>
      </c>
      <c r="D8" s="143" t="s">
        <v>1114</v>
      </c>
      <c r="E8" s="143" t="s">
        <v>1115</v>
      </c>
      <c r="M8" s="143" t="s">
        <v>1480</v>
      </c>
      <c r="N8" s="143" t="s">
        <v>1549</v>
      </c>
      <c r="O8" s="139">
        <v>44051</v>
      </c>
      <c r="P8" s="139">
        <v>44055</v>
      </c>
      <c r="Q8" s="139">
        <v>44052</v>
      </c>
      <c r="R8" s="139">
        <v>44058</v>
      </c>
      <c r="S8" s="140">
        <v>33</v>
      </c>
      <c r="T8" s="140">
        <v>5</v>
      </c>
      <c r="U8" s="140">
        <v>0.60000000000000009</v>
      </c>
      <c r="V8" s="141">
        <v>0</v>
      </c>
      <c r="W8" s="140">
        <v>0</v>
      </c>
      <c r="X8" s="142">
        <v>0.2</v>
      </c>
      <c r="Y8" s="142">
        <v>0</v>
      </c>
      <c r="Z8" s="142">
        <v>1</v>
      </c>
      <c r="AC8" s="141">
        <v>0.60000000000000009</v>
      </c>
    </row>
    <row r="9" spans="1:30">
      <c r="A9" s="143" t="s">
        <v>1118</v>
      </c>
      <c r="B9" s="143" t="s">
        <v>1136</v>
      </c>
      <c r="C9" s="143" t="s">
        <v>1037</v>
      </c>
      <c r="D9" s="143" t="s">
        <v>1114</v>
      </c>
      <c r="E9" s="143" t="s">
        <v>1136</v>
      </c>
      <c r="M9" s="143" t="s">
        <v>1481</v>
      </c>
      <c r="N9" s="143" t="s">
        <v>1549</v>
      </c>
      <c r="O9" s="139">
        <v>44083</v>
      </c>
      <c r="P9" s="139">
        <v>44083</v>
      </c>
      <c r="Q9" s="139">
        <v>44080</v>
      </c>
      <c r="R9" s="139">
        <v>44086</v>
      </c>
      <c r="S9" s="140">
        <v>37</v>
      </c>
      <c r="T9" s="140">
        <v>9</v>
      </c>
      <c r="U9" s="140">
        <v>0.2</v>
      </c>
      <c r="V9" s="141">
        <v>0</v>
      </c>
      <c r="W9" s="140">
        <v>0</v>
      </c>
      <c r="X9" s="142">
        <v>0.2</v>
      </c>
      <c r="Y9" s="142">
        <v>0</v>
      </c>
      <c r="Z9" s="142">
        <v>0</v>
      </c>
      <c r="AC9" s="141">
        <v>0</v>
      </c>
    </row>
    <row r="10" spans="1:30">
      <c r="A10" s="143" t="s">
        <v>1118</v>
      </c>
      <c r="B10" s="143" t="s">
        <v>1438</v>
      </c>
      <c r="C10" s="143" t="s">
        <v>1037</v>
      </c>
      <c r="D10" s="143" t="s">
        <v>1114</v>
      </c>
      <c r="E10" s="143" t="s">
        <v>1438</v>
      </c>
      <c r="M10" s="143" t="s">
        <v>1482</v>
      </c>
      <c r="N10" s="143" t="s">
        <v>1549</v>
      </c>
      <c r="O10" s="139">
        <v>44119</v>
      </c>
      <c r="P10" s="139">
        <v>44144</v>
      </c>
      <c r="Q10" s="139">
        <v>44115</v>
      </c>
      <c r="R10" s="139">
        <v>44121</v>
      </c>
      <c r="S10" s="140">
        <v>42</v>
      </c>
      <c r="T10" s="140">
        <v>14</v>
      </c>
      <c r="U10" s="140">
        <v>0.4</v>
      </c>
      <c r="V10" s="141">
        <v>0</v>
      </c>
      <c r="W10" s="140">
        <v>0</v>
      </c>
      <c r="X10" s="142">
        <v>0.2</v>
      </c>
      <c r="Y10" s="142">
        <v>0</v>
      </c>
      <c r="Z10" s="142">
        <v>0</v>
      </c>
      <c r="AC10" s="141">
        <v>0</v>
      </c>
    </row>
    <row r="11" spans="1:30">
      <c r="A11" s="143" t="s">
        <v>1118</v>
      </c>
      <c r="B11" s="143" t="s">
        <v>1438</v>
      </c>
      <c r="C11" s="143" t="s">
        <v>1037</v>
      </c>
      <c r="D11" s="143" t="s">
        <v>1114</v>
      </c>
      <c r="E11" s="143" t="s">
        <v>1438</v>
      </c>
      <c r="M11" s="143" t="s">
        <v>1482</v>
      </c>
      <c r="N11" s="143" t="s">
        <v>1549</v>
      </c>
      <c r="O11" s="139">
        <v>44119</v>
      </c>
      <c r="P11" s="139">
        <v>44144</v>
      </c>
      <c r="Q11" s="139">
        <v>44122</v>
      </c>
      <c r="R11" s="139">
        <v>44128</v>
      </c>
      <c r="S11" s="140">
        <v>43</v>
      </c>
      <c r="T11" s="140">
        <v>15</v>
      </c>
      <c r="U11" s="140">
        <v>1</v>
      </c>
      <c r="V11" s="141">
        <v>0</v>
      </c>
      <c r="W11" s="140">
        <v>0</v>
      </c>
      <c r="X11" s="142">
        <v>0.2</v>
      </c>
      <c r="Y11" s="142">
        <v>0</v>
      </c>
      <c r="Z11" s="142">
        <v>0</v>
      </c>
      <c r="AC11" s="141">
        <v>0</v>
      </c>
    </row>
    <row r="12" spans="1:30">
      <c r="A12" s="143" t="s">
        <v>1118</v>
      </c>
      <c r="B12" s="143" t="s">
        <v>1438</v>
      </c>
      <c r="C12" s="143" t="s">
        <v>1037</v>
      </c>
      <c r="D12" s="143" t="s">
        <v>1114</v>
      </c>
      <c r="E12" s="143" t="s">
        <v>1438</v>
      </c>
      <c r="M12" s="143" t="s">
        <v>1482</v>
      </c>
      <c r="N12" s="143" t="s">
        <v>1549</v>
      </c>
      <c r="O12" s="139">
        <v>44119</v>
      </c>
      <c r="P12" s="139">
        <v>44144</v>
      </c>
      <c r="Q12" s="139">
        <v>44129</v>
      </c>
      <c r="R12" s="139">
        <v>44135</v>
      </c>
      <c r="S12" s="140">
        <v>44</v>
      </c>
      <c r="T12" s="140">
        <v>16</v>
      </c>
      <c r="U12" s="140">
        <v>1</v>
      </c>
      <c r="V12" s="141">
        <v>0</v>
      </c>
      <c r="W12" s="140">
        <v>0</v>
      </c>
      <c r="X12" s="142">
        <v>0.2</v>
      </c>
      <c r="Y12" s="142">
        <v>0</v>
      </c>
      <c r="Z12" s="142">
        <v>0</v>
      </c>
      <c r="AC12" s="141">
        <v>0</v>
      </c>
    </row>
    <row r="13" spans="1:30">
      <c r="A13" s="143" t="s">
        <v>1118</v>
      </c>
      <c r="B13" s="143" t="s">
        <v>1438</v>
      </c>
      <c r="C13" s="143" t="s">
        <v>1037</v>
      </c>
      <c r="D13" s="143" t="s">
        <v>1114</v>
      </c>
      <c r="E13" s="143" t="s">
        <v>1438</v>
      </c>
      <c r="M13" s="143" t="s">
        <v>1482</v>
      </c>
      <c r="N13" s="143" t="s">
        <v>1549</v>
      </c>
      <c r="O13" s="139">
        <v>44119</v>
      </c>
      <c r="P13" s="139">
        <v>44144</v>
      </c>
      <c r="Q13" s="139">
        <v>44136</v>
      </c>
      <c r="R13" s="139">
        <v>44142</v>
      </c>
      <c r="S13" s="140">
        <v>45</v>
      </c>
      <c r="T13" s="140">
        <v>17</v>
      </c>
      <c r="U13" s="140">
        <v>1</v>
      </c>
      <c r="V13" s="141">
        <v>0</v>
      </c>
      <c r="W13" s="140">
        <v>0</v>
      </c>
      <c r="X13" s="142">
        <v>0.2</v>
      </c>
      <c r="Y13" s="142">
        <v>0</v>
      </c>
      <c r="Z13" s="142">
        <v>0</v>
      </c>
      <c r="AC13" s="141">
        <v>0</v>
      </c>
    </row>
    <row r="14" spans="1:30">
      <c r="A14" s="143" t="s">
        <v>1118</v>
      </c>
      <c r="B14" s="143" t="s">
        <v>1438</v>
      </c>
      <c r="C14" s="143" t="s">
        <v>1037</v>
      </c>
      <c r="D14" s="143" t="s">
        <v>1114</v>
      </c>
      <c r="E14" s="143" t="s">
        <v>1438</v>
      </c>
      <c r="M14" s="143" t="s">
        <v>1482</v>
      </c>
      <c r="N14" s="143" t="s">
        <v>1549</v>
      </c>
      <c r="O14" s="139">
        <v>44119</v>
      </c>
      <c r="P14" s="139">
        <v>44144</v>
      </c>
      <c r="Q14" s="139">
        <v>44143</v>
      </c>
      <c r="R14" s="139">
        <v>44149</v>
      </c>
      <c r="S14" s="140">
        <v>46</v>
      </c>
      <c r="T14" s="140">
        <v>18</v>
      </c>
      <c r="U14" s="140">
        <v>0.2</v>
      </c>
      <c r="V14" s="141">
        <v>0</v>
      </c>
      <c r="W14" s="140">
        <v>0</v>
      </c>
      <c r="X14" s="142">
        <v>0.2</v>
      </c>
      <c r="Y14" s="142">
        <v>0</v>
      </c>
      <c r="Z14" s="142">
        <v>0</v>
      </c>
      <c r="AC14" s="141">
        <v>0</v>
      </c>
    </row>
    <row r="15" spans="1:30">
      <c r="A15" s="143" t="s">
        <v>1118</v>
      </c>
      <c r="B15" s="143" t="s">
        <v>1483</v>
      </c>
      <c r="C15" s="143" t="s">
        <v>1037</v>
      </c>
      <c r="D15" s="143" t="s">
        <v>1114</v>
      </c>
      <c r="E15" s="143" t="s">
        <v>1483</v>
      </c>
      <c r="M15" s="143" t="s">
        <v>1484</v>
      </c>
      <c r="N15" s="143" t="s">
        <v>1335</v>
      </c>
      <c r="O15" s="139">
        <v>44048</v>
      </c>
      <c r="P15" s="139">
        <v>44048</v>
      </c>
      <c r="Q15" s="139">
        <v>44045</v>
      </c>
      <c r="R15" s="139">
        <v>44051</v>
      </c>
      <c r="S15" s="140">
        <v>32</v>
      </c>
      <c r="T15" s="140">
        <v>4</v>
      </c>
      <c r="U15" s="140">
        <v>1</v>
      </c>
      <c r="V15" s="141">
        <v>0</v>
      </c>
      <c r="W15" s="140">
        <v>0</v>
      </c>
      <c r="X15" s="142">
        <v>1</v>
      </c>
      <c r="Y15" s="142">
        <v>0</v>
      </c>
      <c r="Z15" s="142">
        <v>1</v>
      </c>
      <c r="AC15" s="141">
        <v>1</v>
      </c>
    </row>
    <row r="16" spans="1:30">
      <c r="A16" s="143" t="s">
        <v>1118</v>
      </c>
      <c r="B16" s="143" t="s">
        <v>1117</v>
      </c>
      <c r="C16" s="143" t="s">
        <v>1037</v>
      </c>
      <c r="D16" s="143" t="s">
        <v>1116</v>
      </c>
      <c r="E16" s="143" t="s">
        <v>1117</v>
      </c>
      <c r="M16" s="143" t="s">
        <v>1485</v>
      </c>
      <c r="N16" s="143" t="s">
        <v>1548</v>
      </c>
      <c r="O16" s="139">
        <v>44152</v>
      </c>
      <c r="P16" s="139">
        <v>44156</v>
      </c>
      <c r="Q16" s="139">
        <v>44150</v>
      </c>
      <c r="R16" s="139">
        <v>44156</v>
      </c>
      <c r="S16" s="140">
        <v>47</v>
      </c>
      <c r="T16" s="140">
        <v>19</v>
      </c>
      <c r="U16" s="140">
        <v>4</v>
      </c>
      <c r="V16" s="141">
        <v>0</v>
      </c>
      <c r="W16" s="140">
        <v>0</v>
      </c>
      <c r="X16" s="142">
        <v>1</v>
      </c>
      <c r="Y16" s="142">
        <v>0</v>
      </c>
      <c r="Z16" s="142">
        <v>0</v>
      </c>
      <c r="AC16" s="141">
        <v>0</v>
      </c>
    </row>
    <row r="17" spans="1:29">
      <c r="A17" s="143" t="s">
        <v>1118</v>
      </c>
      <c r="B17" s="143" t="s">
        <v>1117</v>
      </c>
      <c r="C17" s="143" t="s">
        <v>1037</v>
      </c>
      <c r="D17" s="143" t="s">
        <v>1116</v>
      </c>
      <c r="E17" s="143" t="s">
        <v>1117</v>
      </c>
      <c r="M17" s="143" t="s">
        <v>1485</v>
      </c>
      <c r="N17" s="143" t="s">
        <v>1477</v>
      </c>
      <c r="O17" s="139">
        <v>44152</v>
      </c>
      <c r="P17" s="139">
        <v>44156</v>
      </c>
      <c r="Q17" s="139">
        <v>44150</v>
      </c>
      <c r="R17" s="139">
        <v>44156</v>
      </c>
      <c r="S17" s="140">
        <v>47</v>
      </c>
      <c r="T17" s="140">
        <v>19</v>
      </c>
      <c r="U17" s="140">
        <v>4</v>
      </c>
      <c r="V17" s="141">
        <v>0</v>
      </c>
      <c r="W17" s="140">
        <v>0</v>
      </c>
      <c r="X17" s="142">
        <v>1</v>
      </c>
      <c r="Y17" s="142">
        <v>0</v>
      </c>
      <c r="Z17" s="142">
        <v>0</v>
      </c>
      <c r="AC17" s="141">
        <v>0</v>
      </c>
    </row>
    <row r="18" spans="1:29">
      <c r="A18" s="143" t="s">
        <v>1118</v>
      </c>
      <c r="B18" s="143" t="s">
        <v>1137</v>
      </c>
      <c r="C18" s="143" t="s">
        <v>1037</v>
      </c>
      <c r="D18" s="143" t="s">
        <v>1116</v>
      </c>
      <c r="E18" s="143" t="s">
        <v>1137</v>
      </c>
      <c r="M18" s="143" t="s">
        <v>1486</v>
      </c>
      <c r="N18" s="143" t="s">
        <v>752</v>
      </c>
      <c r="O18" s="139">
        <v>44159</v>
      </c>
      <c r="P18" s="139">
        <v>44177</v>
      </c>
      <c r="Q18" s="139">
        <v>44157</v>
      </c>
      <c r="R18" s="139">
        <v>44163</v>
      </c>
      <c r="S18" s="140">
        <v>48</v>
      </c>
      <c r="T18" s="140">
        <v>20</v>
      </c>
      <c r="U18" s="140">
        <v>4</v>
      </c>
      <c r="V18" s="141">
        <v>0</v>
      </c>
      <c r="W18" s="140">
        <v>0</v>
      </c>
      <c r="X18" s="142">
        <v>1</v>
      </c>
      <c r="Y18" s="142">
        <v>0</v>
      </c>
      <c r="Z18" s="142">
        <v>0</v>
      </c>
      <c r="AC18" s="141">
        <v>0</v>
      </c>
    </row>
    <row r="19" spans="1:29">
      <c r="A19" s="143" t="s">
        <v>1118</v>
      </c>
      <c r="B19" s="143" t="s">
        <v>1137</v>
      </c>
      <c r="C19" s="143" t="s">
        <v>1037</v>
      </c>
      <c r="D19" s="143" t="s">
        <v>1116</v>
      </c>
      <c r="E19" s="143" t="s">
        <v>1137</v>
      </c>
      <c r="M19" s="143" t="s">
        <v>1486</v>
      </c>
      <c r="N19" s="143" t="s">
        <v>752</v>
      </c>
      <c r="O19" s="139">
        <v>44159</v>
      </c>
      <c r="P19" s="139">
        <v>44177</v>
      </c>
      <c r="Q19" s="139">
        <v>44164</v>
      </c>
      <c r="R19" s="139">
        <v>44170</v>
      </c>
      <c r="S19" s="140">
        <v>49</v>
      </c>
      <c r="T19" s="140">
        <v>21</v>
      </c>
      <c r="U19" s="140">
        <v>5</v>
      </c>
      <c r="V19" s="141">
        <v>0</v>
      </c>
      <c r="W19" s="140">
        <v>0</v>
      </c>
      <c r="X19" s="142">
        <v>1</v>
      </c>
      <c r="Y19" s="142">
        <v>0</v>
      </c>
      <c r="Z19" s="142">
        <v>0</v>
      </c>
      <c r="AC19" s="141">
        <v>0</v>
      </c>
    </row>
    <row r="20" spans="1:29">
      <c r="A20" s="143" t="s">
        <v>1118</v>
      </c>
      <c r="B20" s="143" t="s">
        <v>1137</v>
      </c>
      <c r="C20" s="143" t="s">
        <v>1037</v>
      </c>
      <c r="D20" s="143" t="s">
        <v>1116</v>
      </c>
      <c r="E20" s="143" t="s">
        <v>1137</v>
      </c>
      <c r="M20" s="143" t="s">
        <v>1486</v>
      </c>
      <c r="N20" s="143" t="s">
        <v>752</v>
      </c>
      <c r="O20" s="139">
        <v>44159</v>
      </c>
      <c r="P20" s="139">
        <v>44177</v>
      </c>
      <c r="Q20" s="139">
        <v>44171</v>
      </c>
      <c r="R20" s="139">
        <v>44177</v>
      </c>
      <c r="S20" s="140">
        <v>50</v>
      </c>
      <c r="T20" s="140">
        <v>22</v>
      </c>
      <c r="U20" s="140">
        <v>5</v>
      </c>
      <c r="V20" s="141">
        <v>0</v>
      </c>
      <c r="W20" s="140">
        <v>0</v>
      </c>
      <c r="X20" s="142">
        <v>1</v>
      </c>
      <c r="Y20" s="142">
        <v>0</v>
      </c>
      <c r="Z20" s="142">
        <v>0</v>
      </c>
      <c r="AC20" s="141">
        <v>0</v>
      </c>
    </row>
    <row r="21" spans="1:29">
      <c r="A21" s="143" t="s">
        <v>1118</v>
      </c>
      <c r="B21" s="143" t="s">
        <v>1487</v>
      </c>
      <c r="C21" s="143" t="s">
        <v>1037</v>
      </c>
      <c r="D21" s="143" t="s">
        <v>1116</v>
      </c>
      <c r="E21" s="143" t="s">
        <v>1487</v>
      </c>
      <c r="M21" s="143" t="s">
        <v>1488</v>
      </c>
      <c r="N21" s="143" t="s">
        <v>1550</v>
      </c>
      <c r="O21" s="139">
        <v>44177</v>
      </c>
      <c r="P21" s="139">
        <v>44177</v>
      </c>
      <c r="Q21" s="139">
        <v>44171</v>
      </c>
      <c r="R21" s="139">
        <v>44177</v>
      </c>
      <c r="S21" s="140">
        <v>50</v>
      </c>
      <c r="T21" s="140">
        <v>22</v>
      </c>
      <c r="U21" s="140">
        <v>0</v>
      </c>
      <c r="V21" s="141">
        <v>0</v>
      </c>
      <c r="W21" s="140">
        <v>0</v>
      </c>
      <c r="X21" s="142">
        <v>1</v>
      </c>
      <c r="Y21" s="142">
        <v>0</v>
      </c>
      <c r="Z21" s="142">
        <v>0</v>
      </c>
      <c r="AC21" s="141">
        <v>0</v>
      </c>
    </row>
    <row r="22" spans="1:29">
      <c r="A22" s="143" t="s">
        <v>1118</v>
      </c>
      <c r="B22" s="143" t="s">
        <v>1487</v>
      </c>
      <c r="C22" s="143" t="s">
        <v>1037</v>
      </c>
      <c r="D22" s="143" t="s">
        <v>1116</v>
      </c>
      <c r="E22" s="143" t="s">
        <v>1487</v>
      </c>
      <c r="M22" s="143" t="s">
        <v>1488</v>
      </c>
      <c r="N22" s="143" t="s">
        <v>1551</v>
      </c>
      <c r="O22" s="139">
        <v>44177</v>
      </c>
      <c r="P22" s="139">
        <v>44177</v>
      </c>
      <c r="Q22" s="139">
        <v>44171</v>
      </c>
      <c r="R22" s="139">
        <v>44177</v>
      </c>
      <c r="S22" s="140">
        <v>50</v>
      </c>
      <c r="T22" s="140">
        <v>22</v>
      </c>
      <c r="U22" s="140">
        <v>0</v>
      </c>
      <c r="V22" s="141">
        <v>0</v>
      </c>
      <c r="W22" s="140">
        <v>0</v>
      </c>
      <c r="X22" s="142">
        <v>1</v>
      </c>
      <c r="Y22" s="142">
        <v>0</v>
      </c>
      <c r="Z22" s="142">
        <v>0</v>
      </c>
      <c r="AC22" s="141">
        <v>0</v>
      </c>
    </row>
    <row r="23" spans="1:29">
      <c r="A23" s="143" t="s">
        <v>1118</v>
      </c>
      <c r="B23" s="143" t="s">
        <v>1489</v>
      </c>
      <c r="C23" s="143" t="s">
        <v>1037</v>
      </c>
      <c r="D23" s="143" t="s">
        <v>1116</v>
      </c>
      <c r="E23" s="143" t="s">
        <v>1489</v>
      </c>
      <c r="M23" s="143" t="s">
        <v>1490</v>
      </c>
      <c r="N23" s="143" t="s">
        <v>1335</v>
      </c>
      <c r="O23" s="139">
        <v>44177</v>
      </c>
      <c r="P23" s="139">
        <v>44177</v>
      </c>
      <c r="Q23" s="139">
        <v>44171</v>
      </c>
      <c r="R23" s="139">
        <v>44177</v>
      </c>
      <c r="S23" s="140">
        <v>50</v>
      </c>
      <c r="T23" s="140">
        <v>22</v>
      </c>
      <c r="U23" s="140">
        <v>0</v>
      </c>
      <c r="V23" s="141">
        <v>0</v>
      </c>
      <c r="W23" s="140">
        <v>0</v>
      </c>
      <c r="X23" s="142">
        <v>0</v>
      </c>
      <c r="Y23" s="142">
        <v>0</v>
      </c>
      <c r="Z23" s="142">
        <v>0</v>
      </c>
      <c r="AC23" s="141">
        <v>0</v>
      </c>
    </row>
    <row r="24" spans="1:29">
      <c r="A24" s="143" t="s">
        <v>1118</v>
      </c>
      <c r="B24" s="143" t="s">
        <v>1491</v>
      </c>
      <c r="C24" s="143" t="s">
        <v>1101</v>
      </c>
      <c r="D24" s="143" t="s">
        <v>1544</v>
      </c>
      <c r="E24" s="143" t="s">
        <v>1491</v>
      </c>
      <c r="M24" s="143" t="s">
        <v>1492</v>
      </c>
      <c r="N24" s="143" t="s">
        <v>1335</v>
      </c>
      <c r="O24" s="139">
        <v>44030</v>
      </c>
      <c r="P24" s="139">
        <v>44048</v>
      </c>
      <c r="Q24" s="139">
        <v>44026</v>
      </c>
      <c r="R24" s="139">
        <v>44030</v>
      </c>
      <c r="S24" s="140">
        <v>29</v>
      </c>
      <c r="T24" s="140">
        <v>1</v>
      </c>
      <c r="U24" s="140">
        <v>0</v>
      </c>
      <c r="V24" s="141">
        <v>0</v>
      </c>
      <c r="W24" s="140">
        <v>0</v>
      </c>
      <c r="X24" s="142">
        <v>1</v>
      </c>
      <c r="Y24" s="142">
        <v>0.76923076923076927</v>
      </c>
      <c r="Z24" s="142">
        <v>1</v>
      </c>
      <c r="AC24" s="141">
        <v>0</v>
      </c>
    </row>
    <row r="25" spans="1:29">
      <c r="A25" s="143" t="s">
        <v>1118</v>
      </c>
      <c r="B25" s="143" t="s">
        <v>1491</v>
      </c>
      <c r="C25" s="143" t="s">
        <v>1101</v>
      </c>
      <c r="D25" s="143" t="s">
        <v>1544</v>
      </c>
      <c r="E25" s="143" t="s">
        <v>1491</v>
      </c>
      <c r="M25" s="143" t="s">
        <v>1492</v>
      </c>
      <c r="N25" s="143" t="s">
        <v>1335</v>
      </c>
      <c r="O25" s="139">
        <v>44030</v>
      </c>
      <c r="P25" s="139">
        <v>44048</v>
      </c>
      <c r="Q25" s="139">
        <v>44031</v>
      </c>
      <c r="R25" s="139">
        <v>44037</v>
      </c>
      <c r="S25" s="140">
        <v>30</v>
      </c>
      <c r="T25" s="140">
        <v>2</v>
      </c>
      <c r="U25" s="140">
        <v>5</v>
      </c>
      <c r="V25" s="141">
        <v>5</v>
      </c>
      <c r="W25" s="140">
        <v>0</v>
      </c>
      <c r="X25" s="142">
        <v>1</v>
      </c>
      <c r="Y25" s="142">
        <v>0.76923076923076927</v>
      </c>
      <c r="Z25" s="142">
        <v>1</v>
      </c>
      <c r="AC25" s="141">
        <v>5</v>
      </c>
    </row>
    <row r="26" spans="1:29">
      <c r="A26" s="143" t="s">
        <v>1118</v>
      </c>
      <c r="B26" s="143" t="s">
        <v>1491</v>
      </c>
      <c r="C26" s="143" t="s">
        <v>1101</v>
      </c>
      <c r="D26" s="143" t="s">
        <v>1544</v>
      </c>
      <c r="E26" s="143" t="s">
        <v>1491</v>
      </c>
      <c r="M26" s="143" t="s">
        <v>1492</v>
      </c>
      <c r="N26" s="143" t="s">
        <v>1335</v>
      </c>
      <c r="O26" s="139">
        <v>44030</v>
      </c>
      <c r="P26" s="139">
        <v>44048</v>
      </c>
      <c r="Q26" s="139">
        <v>44038</v>
      </c>
      <c r="R26" s="139">
        <v>44044</v>
      </c>
      <c r="S26" s="140">
        <v>31</v>
      </c>
      <c r="T26" s="140">
        <v>3</v>
      </c>
      <c r="U26" s="140">
        <v>5</v>
      </c>
      <c r="V26" s="141">
        <v>5</v>
      </c>
      <c r="W26" s="140">
        <v>0</v>
      </c>
      <c r="X26" s="142">
        <v>1</v>
      </c>
      <c r="Y26" s="142">
        <v>0.76923076923076927</v>
      </c>
      <c r="Z26" s="142">
        <v>1</v>
      </c>
      <c r="AC26" s="141">
        <v>5</v>
      </c>
    </row>
    <row r="27" spans="1:29">
      <c r="A27" s="143" t="s">
        <v>1118</v>
      </c>
      <c r="B27" s="143" t="s">
        <v>1491</v>
      </c>
      <c r="C27" s="143" t="s">
        <v>1101</v>
      </c>
      <c r="D27" s="143" t="s">
        <v>1544</v>
      </c>
      <c r="E27" s="143" t="s">
        <v>1491</v>
      </c>
      <c r="M27" s="143" t="s">
        <v>1492</v>
      </c>
      <c r="N27" s="143" t="s">
        <v>1335</v>
      </c>
      <c r="O27" s="139">
        <v>44030</v>
      </c>
      <c r="P27" s="139">
        <v>44048</v>
      </c>
      <c r="Q27" s="139">
        <v>44045</v>
      </c>
      <c r="R27" s="139">
        <v>44051</v>
      </c>
      <c r="S27" s="140">
        <v>32</v>
      </c>
      <c r="T27" s="140">
        <v>4</v>
      </c>
      <c r="U27" s="140">
        <v>3</v>
      </c>
      <c r="V27" s="141">
        <v>0</v>
      </c>
      <c r="W27" s="140">
        <v>0</v>
      </c>
      <c r="X27" s="142">
        <v>1</v>
      </c>
      <c r="Y27" s="142">
        <v>0.76923076923076927</v>
      </c>
      <c r="Z27" s="142">
        <v>1</v>
      </c>
      <c r="AC27" s="141">
        <v>3</v>
      </c>
    </row>
    <row r="28" spans="1:29">
      <c r="A28" s="143" t="s">
        <v>1119</v>
      </c>
      <c r="B28" s="143" t="s">
        <v>1494</v>
      </c>
      <c r="C28" s="143" t="s">
        <v>1101</v>
      </c>
      <c r="D28" s="143" t="s">
        <v>1544</v>
      </c>
      <c r="E28" s="143" t="s">
        <v>1493</v>
      </c>
      <c r="F28" s="143" t="s">
        <v>1494</v>
      </c>
      <c r="M28" s="143" t="s">
        <v>1495</v>
      </c>
      <c r="N28" s="143" t="s">
        <v>1335</v>
      </c>
      <c r="O28" s="139">
        <v>44036</v>
      </c>
      <c r="P28" s="139">
        <v>44047</v>
      </c>
      <c r="Q28" s="139">
        <v>44031</v>
      </c>
      <c r="R28" s="139">
        <v>44037</v>
      </c>
      <c r="S28" s="140">
        <v>30</v>
      </c>
      <c r="T28" s="140">
        <v>2</v>
      </c>
      <c r="U28" s="140">
        <v>1</v>
      </c>
      <c r="V28" s="141">
        <v>1</v>
      </c>
      <c r="W28" s="140">
        <v>0</v>
      </c>
      <c r="X28" s="142">
        <v>1</v>
      </c>
      <c r="Y28" s="142">
        <v>0.75</v>
      </c>
      <c r="Z28" s="142">
        <v>1</v>
      </c>
      <c r="AC28" s="141">
        <v>1</v>
      </c>
    </row>
    <row r="29" spans="1:29">
      <c r="A29" s="143" t="s">
        <v>1119</v>
      </c>
      <c r="B29" s="143" t="s">
        <v>1494</v>
      </c>
      <c r="C29" s="143" t="s">
        <v>1101</v>
      </c>
      <c r="D29" s="143" t="s">
        <v>1544</v>
      </c>
      <c r="E29" s="143" t="s">
        <v>1493</v>
      </c>
      <c r="F29" s="143" t="s">
        <v>1494</v>
      </c>
      <c r="M29" s="143" t="s">
        <v>1495</v>
      </c>
      <c r="N29" s="143" t="s">
        <v>1335</v>
      </c>
      <c r="O29" s="139">
        <v>44036</v>
      </c>
      <c r="P29" s="139">
        <v>44047</v>
      </c>
      <c r="Q29" s="139">
        <v>44038</v>
      </c>
      <c r="R29" s="139">
        <v>44044</v>
      </c>
      <c r="S29" s="140">
        <v>31</v>
      </c>
      <c r="T29" s="140">
        <v>3</v>
      </c>
      <c r="U29" s="140">
        <v>5</v>
      </c>
      <c r="V29" s="141">
        <v>5</v>
      </c>
      <c r="W29" s="140">
        <v>0</v>
      </c>
      <c r="X29" s="142">
        <v>1</v>
      </c>
      <c r="Y29" s="142">
        <v>0.75</v>
      </c>
      <c r="Z29" s="142">
        <v>1</v>
      </c>
      <c r="AC29" s="141">
        <v>5</v>
      </c>
    </row>
    <row r="30" spans="1:29">
      <c r="A30" s="143" t="s">
        <v>1119</v>
      </c>
      <c r="B30" s="143" t="s">
        <v>1494</v>
      </c>
      <c r="C30" s="143" t="s">
        <v>1101</v>
      </c>
      <c r="D30" s="143" t="s">
        <v>1544</v>
      </c>
      <c r="E30" s="143" t="s">
        <v>1493</v>
      </c>
      <c r="F30" s="143" t="s">
        <v>1494</v>
      </c>
      <c r="M30" s="143" t="s">
        <v>1495</v>
      </c>
      <c r="N30" s="143" t="s">
        <v>1335</v>
      </c>
      <c r="O30" s="139">
        <v>44036</v>
      </c>
      <c r="P30" s="139">
        <v>44047</v>
      </c>
      <c r="Q30" s="139">
        <v>44045</v>
      </c>
      <c r="R30" s="139">
        <v>44051</v>
      </c>
      <c r="S30" s="140">
        <v>32</v>
      </c>
      <c r="T30" s="140">
        <v>4</v>
      </c>
      <c r="U30" s="140">
        <v>2</v>
      </c>
      <c r="V30" s="141">
        <v>0</v>
      </c>
      <c r="W30" s="140">
        <v>0</v>
      </c>
      <c r="X30" s="142">
        <v>1</v>
      </c>
      <c r="Y30" s="142">
        <v>0.75</v>
      </c>
      <c r="Z30" s="142">
        <v>1</v>
      </c>
      <c r="AC30" s="141">
        <v>2</v>
      </c>
    </row>
    <row r="31" spans="1:29">
      <c r="A31" s="143" t="s">
        <v>1119</v>
      </c>
      <c r="B31" s="143" t="s">
        <v>1496</v>
      </c>
      <c r="C31" s="143" t="s">
        <v>1101</v>
      </c>
      <c r="D31" s="143" t="s">
        <v>1544</v>
      </c>
      <c r="E31" s="143" t="s">
        <v>1493</v>
      </c>
      <c r="F31" s="143" t="s">
        <v>1496</v>
      </c>
      <c r="M31" s="143" t="s">
        <v>1497</v>
      </c>
      <c r="N31" s="143" t="s">
        <v>1552</v>
      </c>
      <c r="O31" s="139">
        <v>44036</v>
      </c>
      <c r="P31" s="139">
        <v>44047</v>
      </c>
      <c r="Q31" s="139">
        <v>44031</v>
      </c>
      <c r="R31" s="139">
        <v>44037</v>
      </c>
      <c r="S31" s="140">
        <v>30</v>
      </c>
      <c r="T31" s="140">
        <v>2</v>
      </c>
      <c r="U31" s="140">
        <v>1.2</v>
      </c>
      <c r="V31" s="141">
        <v>1.2</v>
      </c>
      <c r="W31" s="140">
        <v>0</v>
      </c>
      <c r="X31" s="142">
        <v>1.2</v>
      </c>
      <c r="Y31" s="142">
        <v>0.75</v>
      </c>
      <c r="Z31" s="142">
        <v>0.45</v>
      </c>
      <c r="AC31" s="141">
        <v>0</v>
      </c>
    </row>
    <row r="32" spans="1:29">
      <c r="A32" s="143" t="s">
        <v>1119</v>
      </c>
      <c r="B32" s="143" t="s">
        <v>1496</v>
      </c>
      <c r="C32" s="143" t="s">
        <v>1101</v>
      </c>
      <c r="D32" s="143" t="s">
        <v>1544</v>
      </c>
      <c r="E32" s="143" t="s">
        <v>1493</v>
      </c>
      <c r="F32" s="143" t="s">
        <v>1496</v>
      </c>
      <c r="M32" s="143" t="s">
        <v>1497</v>
      </c>
      <c r="N32" s="143" t="s">
        <v>1477</v>
      </c>
      <c r="O32" s="139">
        <v>44036</v>
      </c>
      <c r="P32" s="139">
        <v>44047</v>
      </c>
      <c r="Q32" s="139">
        <v>44031</v>
      </c>
      <c r="R32" s="139">
        <v>44037</v>
      </c>
      <c r="S32" s="140">
        <v>30</v>
      </c>
      <c r="T32" s="140">
        <v>2</v>
      </c>
      <c r="U32" s="140">
        <v>0.5</v>
      </c>
      <c r="V32" s="141">
        <v>0.5</v>
      </c>
      <c r="W32" s="140">
        <v>0</v>
      </c>
      <c r="X32" s="142">
        <v>0.5</v>
      </c>
      <c r="Y32" s="142">
        <v>0.75</v>
      </c>
      <c r="Z32" s="142">
        <v>0.45</v>
      </c>
      <c r="AC32" s="141">
        <v>0</v>
      </c>
    </row>
    <row r="33" spans="1:29">
      <c r="A33" s="143" t="s">
        <v>1119</v>
      </c>
      <c r="B33" s="143" t="s">
        <v>1496</v>
      </c>
      <c r="C33" s="143" t="s">
        <v>1101</v>
      </c>
      <c r="D33" s="143" t="s">
        <v>1544</v>
      </c>
      <c r="E33" s="143" t="s">
        <v>1493</v>
      </c>
      <c r="F33" s="143" t="s">
        <v>1496</v>
      </c>
      <c r="M33" s="143" t="s">
        <v>1497</v>
      </c>
      <c r="N33" s="143" t="s">
        <v>1552</v>
      </c>
      <c r="O33" s="139">
        <v>44036</v>
      </c>
      <c r="P33" s="139">
        <v>44047</v>
      </c>
      <c r="Q33" s="139">
        <v>44038</v>
      </c>
      <c r="R33" s="139">
        <v>44044</v>
      </c>
      <c r="S33" s="140">
        <v>31</v>
      </c>
      <c r="T33" s="140">
        <v>3</v>
      </c>
      <c r="U33" s="140">
        <v>6</v>
      </c>
      <c r="V33" s="141">
        <v>6</v>
      </c>
      <c r="W33" s="140">
        <v>0</v>
      </c>
      <c r="X33" s="142">
        <v>1.2</v>
      </c>
      <c r="Y33" s="142">
        <v>0.75</v>
      </c>
      <c r="Z33" s="142">
        <v>0.45</v>
      </c>
      <c r="AC33" s="141">
        <v>4.32</v>
      </c>
    </row>
    <row r="34" spans="1:29">
      <c r="A34" s="143" t="s">
        <v>1119</v>
      </c>
      <c r="B34" s="143" t="s">
        <v>1496</v>
      </c>
      <c r="C34" s="143" t="s">
        <v>1101</v>
      </c>
      <c r="D34" s="143" t="s">
        <v>1544</v>
      </c>
      <c r="E34" s="143" t="s">
        <v>1493</v>
      </c>
      <c r="F34" s="143" t="s">
        <v>1496</v>
      </c>
      <c r="M34" s="143" t="s">
        <v>1497</v>
      </c>
      <c r="N34" s="143" t="s">
        <v>1477</v>
      </c>
      <c r="O34" s="139">
        <v>44036</v>
      </c>
      <c r="P34" s="139">
        <v>44047</v>
      </c>
      <c r="Q34" s="139">
        <v>44038</v>
      </c>
      <c r="R34" s="139">
        <v>44044</v>
      </c>
      <c r="S34" s="140">
        <v>31</v>
      </c>
      <c r="T34" s="140">
        <v>3</v>
      </c>
      <c r="U34" s="140">
        <v>2.5</v>
      </c>
      <c r="V34" s="141">
        <v>2.5</v>
      </c>
      <c r="W34" s="140">
        <v>0</v>
      </c>
      <c r="X34" s="142">
        <v>0.5</v>
      </c>
      <c r="Y34" s="142">
        <v>0.75</v>
      </c>
      <c r="Z34" s="142">
        <v>0.45</v>
      </c>
      <c r="AC34" s="141">
        <v>1.8</v>
      </c>
    </row>
    <row r="35" spans="1:29">
      <c r="A35" s="143" t="s">
        <v>1119</v>
      </c>
      <c r="B35" s="143" t="s">
        <v>1496</v>
      </c>
      <c r="C35" s="143" t="s">
        <v>1101</v>
      </c>
      <c r="D35" s="143" t="s">
        <v>1544</v>
      </c>
      <c r="E35" s="143" t="s">
        <v>1493</v>
      </c>
      <c r="F35" s="143" t="s">
        <v>1496</v>
      </c>
      <c r="M35" s="143" t="s">
        <v>1497</v>
      </c>
      <c r="N35" s="143" t="s">
        <v>1552</v>
      </c>
      <c r="O35" s="139">
        <v>44036</v>
      </c>
      <c r="P35" s="139">
        <v>44047</v>
      </c>
      <c r="Q35" s="139">
        <v>44045</v>
      </c>
      <c r="R35" s="139">
        <v>44051</v>
      </c>
      <c r="S35" s="140">
        <v>32</v>
      </c>
      <c r="T35" s="140">
        <v>4</v>
      </c>
      <c r="U35" s="140">
        <v>2.4</v>
      </c>
      <c r="V35" s="141">
        <v>0</v>
      </c>
      <c r="W35" s="140">
        <v>0</v>
      </c>
      <c r="X35" s="142">
        <v>1.2</v>
      </c>
      <c r="Y35" s="142">
        <v>0.75</v>
      </c>
      <c r="Z35" s="142">
        <v>0.45</v>
      </c>
      <c r="AC35" s="141">
        <v>0</v>
      </c>
    </row>
    <row r="36" spans="1:29">
      <c r="A36" s="143" t="s">
        <v>1119</v>
      </c>
      <c r="B36" s="143" t="s">
        <v>1496</v>
      </c>
      <c r="C36" s="143" t="s">
        <v>1101</v>
      </c>
      <c r="D36" s="143" t="s">
        <v>1544</v>
      </c>
      <c r="E36" s="143" t="s">
        <v>1493</v>
      </c>
      <c r="F36" s="143" t="s">
        <v>1496</v>
      </c>
      <c r="M36" s="143" t="s">
        <v>1497</v>
      </c>
      <c r="N36" s="143" t="s">
        <v>1477</v>
      </c>
      <c r="O36" s="139">
        <v>44036</v>
      </c>
      <c r="P36" s="139">
        <v>44047</v>
      </c>
      <c r="Q36" s="139">
        <v>44045</v>
      </c>
      <c r="R36" s="139">
        <v>44051</v>
      </c>
      <c r="S36" s="140">
        <v>32</v>
      </c>
      <c r="T36" s="140">
        <v>4</v>
      </c>
      <c r="U36" s="140">
        <v>1</v>
      </c>
      <c r="V36" s="141">
        <v>0</v>
      </c>
      <c r="W36" s="140">
        <v>0</v>
      </c>
      <c r="X36" s="142">
        <v>0.5</v>
      </c>
      <c r="Y36" s="142">
        <v>0.75</v>
      </c>
      <c r="Z36" s="142">
        <v>0.45</v>
      </c>
      <c r="AC36" s="141">
        <v>0</v>
      </c>
    </row>
    <row r="37" spans="1:29">
      <c r="A37" s="143" t="s">
        <v>1118</v>
      </c>
      <c r="B37" s="143" t="s">
        <v>1498</v>
      </c>
      <c r="C37" s="143" t="s">
        <v>1101</v>
      </c>
      <c r="D37" s="143" t="s">
        <v>1545</v>
      </c>
      <c r="E37" s="143" t="s">
        <v>1498</v>
      </c>
      <c r="M37" s="143" t="s">
        <v>1499</v>
      </c>
      <c r="N37" s="143" t="s">
        <v>1335</v>
      </c>
      <c r="O37" s="139">
        <v>44050</v>
      </c>
      <c r="P37" s="139">
        <v>44068</v>
      </c>
      <c r="Q37" s="139">
        <v>44045</v>
      </c>
      <c r="R37" s="139">
        <v>44051</v>
      </c>
      <c r="S37" s="140">
        <v>32</v>
      </c>
      <c r="T37" s="140">
        <v>4</v>
      </c>
      <c r="U37" s="140">
        <v>1</v>
      </c>
      <c r="V37" s="141">
        <v>0</v>
      </c>
      <c r="W37" s="140">
        <v>0</v>
      </c>
      <c r="X37" s="142">
        <v>1</v>
      </c>
      <c r="Y37" s="142">
        <v>0</v>
      </c>
      <c r="Z37" s="142">
        <v>0</v>
      </c>
      <c r="AC37" s="141">
        <v>0</v>
      </c>
    </row>
    <row r="38" spans="1:29">
      <c r="A38" s="143" t="s">
        <v>1118</v>
      </c>
      <c r="B38" s="143" t="s">
        <v>1498</v>
      </c>
      <c r="C38" s="143" t="s">
        <v>1101</v>
      </c>
      <c r="D38" s="143" t="s">
        <v>1545</v>
      </c>
      <c r="E38" s="143" t="s">
        <v>1498</v>
      </c>
      <c r="M38" s="143" t="s">
        <v>1499</v>
      </c>
      <c r="N38" s="143" t="s">
        <v>1335</v>
      </c>
      <c r="O38" s="139">
        <v>44050</v>
      </c>
      <c r="P38" s="139">
        <v>44068</v>
      </c>
      <c r="Q38" s="139">
        <v>44052</v>
      </c>
      <c r="R38" s="139">
        <v>44058</v>
      </c>
      <c r="S38" s="140">
        <v>33</v>
      </c>
      <c r="T38" s="140">
        <v>5</v>
      </c>
      <c r="U38" s="140">
        <v>5</v>
      </c>
      <c r="V38" s="141">
        <v>0</v>
      </c>
      <c r="W38" s="140">
        <v>0</v>
      </c>
      <c r="X38" s="142">
        <v>1</v>
      </c>
      <c r="Y38" s="142">
        <v>0</v>
      </c>
      <c r="Z38" s="142">
        <v>0</v>
      </c>
      <c r="AC38" s="141">
        <v>0</v>
      </c>
    </row>
    <row r="39" spans="1:29">
      <c r="A39" s="143" t="s">
        <v>1118</v>
      </c>
      <c r="B39" s="143" t="s">
        <v>1498</v>
      </c>
      <c r="C39" s="143" t="s">
        <v>1101</v>
      </c>
      <c r="D39" s="143" t="s">
        <v>1545</v>
      </c>
      <c r="E39" s="143" t="s">
        <v>1498</v>
      </c>
      <c r="M39" s="143" t="s">
        <v>1499</v>
      </c>
      <c r="N39" s="143" t="s">
        <v>1335</v>
      </c>
      <c r="O39" s="139">
        <v>44050</v>
      </c>
      <c r="P39" s="139">
        <v>44068</v>
      </c>
      <c r="Q39" s="139">
        <v>44059</v>
      </c>
      <c r="R39" s="139">
        <v>44065</v>
      </c>
      <c r="S39" s="140">
        <v>34</v>
      </c>
      <c r="T39" s="140">
        <v>6</v>
      </c>
      <c r="U39" s="140">
        <v>4</v>
      </c>
      <c r="V39" s="141">
        <v>0</v>
      </c>
      <c r="W39" s="140">
        <v>0</v>
      </c>
      <c r="X39" s="142">
        <v>1</v>
      </c>
      <c r="Y39" s="142">
        <v>0</v>
      </c>
      <c r="Z39" s="142">
        <v>0</v>
      </c>
      <c r="AC39" s="141">
        <v>0</v>
      </c>
    </row>
    <row r="40" spans="1:29">
      <c r="A40" s="143" t="s">
        <v>1118</v>
      </c>
      <c r="B40" s="143" t="s">
        <v>1498</v>
      </c>
      <c r="C40" s="143" t="s">
        <v>1101</v>
      </c>
      <c r="D40" s="143" t="s">
        <v>1545</v>
      </c>
      <c r="E40" s="143" t="s">
        <v>1498</v>
      </c>
      <c r="M40" s="143" t="s">
        <v>1499</v>
      </c>
      <c r="N40" s="143" t="s">
        <v>1335</v>
      </c>
      <c r="O40" s="139">
        <v>44050</v>
      </c>
      <c r="P40" s="139">
        <v>44068</v>
      </c>
      <c r="Q40" s="139">
        <v>44066</v>
      </c>
      <c r="R40" s="139">
        <v>44072</v>
      </c>
      <c r="S40" s="140">
        <v>35</v>
      </c>
      <c r="T40" s="140">
        <v>7</v>
      </c>
      <c r="U40" s="140">
        <v>2</v>
      </c>
      <c r="V40" s="141">
        <v>0</v>
      </c>
      <c r="W40" s="140">
        <v>0</v>
      </c>
      <c r="X40" s="142">
        <v>1</v>
      </c>
      <c r="Y40" s="142">
        <v>0</v>
      </c>
      <c r="Z40" s="142">
        <v>0</v>
      </c>
      <c r="AC40" s="141">
        <v>0</v>
      </c>
    </row>
    <row r="41" spans="1:29">
      <c r="A41" s="143" t="s">
        <v>1119</v>
      </c>
      <c r="B41" s="143" t="s">
        <v>1501</v>
      </c>
      <c r="C41" s="143" t="s">
        <v>1101</v>
      </c>
      <c r="D41" s="143" t="s">
        <v>1545</v>
      </c>
      <c r="E41" s="143" t="s">
        <v>1500</v>
      </c>
      <c r="F41" s="143" t="s">
        <v>1501</v>
      </c>
      <c r="M41" s="143" t="s">
        <v>1502</v>
      </c>
      <c r="N41" s="143" t="s">
        <v>1335</v>
      </c>
      <c r="O41" s="139">
        <v>44057</v>
      </c>
      <c r="P41" s="139">
        <v>44068</v>
      </c>
      <c r="Q41" s="139">
        <v>44052</v>
      </c>
      <c r="R41" s="139">
        <v>44058</v>
      </c>
      <c r="S41" s="140">
        <v>33</v>
      </c>
      <c r="T41" s="140">
        <v>5</v>
      </c>
      <c r="U41" s="140">
        <v>1</v>
      </c>
      <c r="V41" s="141">
        <v>0</v>
      </c>
      <c r="W41" s="140">
        <v>0</v>
      </c>
      <c r="X41" s="142">
        <v>1</v>
      </c>
      <c r="Y41" s="142">
        <v>0</v>
      </c>
      <c r="Z41" s="142">
        <v>0</v>
      </c>
      <c r="AC41" s="141">
        <v>0</v>
      </c>
    </row>
    <row r="42" spans="1:29">
      <c r="A42" s="143" t="s">
        <v>1119</v>
      </c>
      <c r="B42" s="143" t="s">
        <v>1501</v>
      </c>
      <c r="C42" s="143" t="s">
        <v>1101</v>
      </c>
      <c r="D42" s="143" t="s">
        <v>1545</v>
      </c>
      <c r="E42" s="143" t="s">
        <v>1500</v>
      </c>
      <c r="F42" s="143" t="s">
        <v>1501</v>
      </c>
      <c r="M42" s="143" t="s">
        <v>1502</v>
      </c>
      <c r="N42" s="143" t="s">
        <v>1335</v>
      </c>
      <c r="O42" s="139">
        <v>44057</v>
      </c>
      <c r="P42" s="139">
        <v>44068</v>
      </c>
      <c r="Q42" s="139">
        <v>44059</v>
      </c>
      <c r="R42" s="139">
        <v>44065</v>
      </c>
      <c r="S42" s="140">
        <v>34</v>
      </c>
      <c r="T42" s="140">
        <v>6</v>
      </c>
      <c r="U42" s="140">
        <v>4</v>
      </c>
      <c r="V42" s="141">
        <v>0</v>
      </c>
      <c r="W42" s="140">
        <v>0</v>
      </c>
      <c r="X42" s="142">
        <v>1</v>
      </c>
      <c r="Y42" s="142">
        <v>0</v>
      </c>
      <c r="Z42" s="142">
        <v>0</v>
      </c>
      <c r="AC42" s="141">
        <v>0</v>
      </c>
    </row>
    <row r="43" spans="1:29">
      <c r="A43" s="143" t="s">
        <v>1119</v>
      </c>
      <c r="B43" s="143" t="s">
        <v>1501</v>
      </c>
      <c r="C43" s="143" t="s">
        <v>1101</v>
      </c>
      <c r="D43" s="143" t="s">
        <v>1545</v>
      </c>
      <c r="E43" s="143" t="s">
        <v>1500</v>
      </c>
      <c r="F43" s="143" t="s">
        <v>1501</v>
      </c>
      <c r="M43" s="143" t="s">
        <v>1502</v>
      </c>
      <c r="N43" s="143" t="s">
        <v>1335</v>
      </c>
      <c r="O43" s="139">
        <v>44057</v>
      </c>
      <c r="P43" s="139">
        <v>44068</v>
      </c>
      <c r="Q43" s="139">
        <v>44066</v>
      </c>
      <c r="R43" s="139">
        <v>44072</v>
      </c>
      <c r="S43" s="140">
        <v>35</v>
      </c>
      <c r="T43" s="140">
        <v>7</v>
      </c>
      <c r="U43" s="140">
        <v>2</v>
      </c>
      <c r="V43" s="141">
        <v>0</v>
      </c>
      <c r="W43" s="140">
        <v>0</v>
      </c>
      <c r="X43" s="142">
        <v>1</v>
      </c>
      <c r="Y43" s="142">
        <v>0</v>
      </c>
      <c r="Z43" s="142">
        <v>0</v>
      </c>
      <c r="AC43" s="141">
        <v>0</v>
      </c>
    </row>
    <row r="44" spans="1:29">
      <c r="A44" s="143" t="s">
        <v>1119</v>
      </c>
      <c r="B44" s="143" t="s">
        <v>1503</v>
      </c>
      <c r="C44" s="143" t="s">
        <v>1101</v>
      </c>
      <c r="D44" s="143" t="s">
        <v>1545</v>
      </c>
      <c r="E44" s="143" t="s">
        <v>1500</v>
      </c>
      <c r="F44" s="143" t="s">
        <v>1503</v>
      </c>
      <c r="M44" s="143" t="s">
        <v>1504</v>
      </c>
      <c r="N44" s="143" t="s">
        <v>1335</v>
      </c>
      <c r="O44" s="139">
        <v>44064</v>
      </c>
      <c r="P44" s="139">
        <v>44075</v>
      </c>
      <c r="Q44" s="139">
        <v>44059</v>
      </c>
      <c r="R44" s="139">
        <v>44065</v>
      </c>
      <c r="S44" s="140">
        <v>34</v>
      </c>
      <c r="T44" s="140">
        <v>6</v>
      </c>
      <c r="U44" s="140">
        <v>1</v>
      </c>
      <c r="V44" s="141">
        <v>0</v>
      </c>
      <c r="W44" s="140">
        <v>0</v>
      </c>
      <c r="X44" s="142">
        <v>1</v>
      </c>
      <c r="Y44" s="142">
        <v>0</v>
      </c>
      <c r="Z44" s="142">
        <v>0</v>
      </c>
      <c r="AC44" s="141">
        <v>0</v>
      </c>
    </row>
    <row r="45" spans="1:29">
      <c r="A45" s="143" t="s">
        <v>1119</v>
      </c>
      <c r="B45" s="143" t="s">
        <v>1503</v>
      </c>
      <c r="C45" s="143" t="s">
        <v>1101</v>
      </c>
      <c r="D45" s="143" t="s">
        <v>1545</v>
      </c>
      <c r="E45" s="143" t="s">
        <v>1500</v>
      </c>
      <c r="F45" s="143" t="s">
        <v>1503</v>
      </c>
      <c r="M45" s="143" t="s">
        <v>1504</v>
      </c>
      <c r="N45" s="143" t="s">
        <v>1335</v>
      </c>
      <c r="O45" s="139">
        <v>44064</v>
      </c>
      <c r="P45" s="139">
        <v>44075</v>
      </c>
      <c r="Q45" s="139">
        <v>44066</v>
      </c>
      <c r="R45" s="139">
        <v>44072</v>
      </c>
      <c r="S45" s="140">
        <v>35</v>
      </c>
      <c r="T45" s="140">
        <v>7</v>
      </c>
      <c r="U45" s="140">
        <v>5</v>
      </c>
      <c r="V45" s="141">
        <v>0</v>
      </c>
      <c r="W45" s="140">
        <v>0</v>
      </c>
      <c r="X45" s="142">
        <v>1</v>
      </c>
      <c r="Y45" s="142">
        <v>0</v>
      </c>
      <c r="Z45" s="142">
        <v>0</v>
      </c>
      <c r="AC45" s="141">
        <v>0</v>
      </c>
    </row>
    <row r="46" spans="1:29">
      <c r="A46" s="143" t="s">
        <v>1119</v>
      </c>
      <c r="B46" s="143" t="s">
        <v>1503</v>
      </c>
      <c r="C46" s="143" t="s">
        <v>1101</v>
      </c>
      <c r="D46" s="143" t="s">
        <v>1545</v>
      </c>
      <c r="E46" s="143" t="s">
        <v>1500</v>
      </c>
      <c r="F46" s="143" t="s">
        <v>1503</v>
      </c>
      <c r="M46" s="143" t="s">
        <v>1504</v>
      </c>
      <c r="N46" s="143" t="s">
        <v>1335</v>
      </c>
      <c r="O46" s="139">
        <v>44064</v>
      </c>
      <c r="P46" s="139">
        <v>44075</v>
      </c>
      <c r="Q46" s="139">
        <v>44073</v>
      </c>
      <c r="R46" s="139">
        <v>44079</v>
      </c>
      <c r="S46" s="140">
        <v>36</v>
      </c>
      <c r="T46" s="140">
        <v>8</v>
      </c>
      <c r="U46" s="140">
        <v>2</v>
      </c>
      <c r="V46" s="141">
        <v>0</v>
      </c>
      <c r="W46" s="140">
        <v>0</v>
      </c>
      <c r="X46" s="142">
        <v>1</v>
      </c>
      <c r="Y46" s="142">
        <v>0</v>
      </c>
      <c r="Z46" s="142">
        <v>0</v>
      </c>
      <c r="AC46" s="141">
        <v>0</v>
      </c>
    </row>
    <row r="47" spans="1:29">
      <c r="A47" s="143" t="s">
        <v>1119</v>
      </c>
      <c r="B47" s="143" t="s">
        <v>1505</v>
      </c>
      <c r="C47" s="143" t="s">
        <v>1101</v>
      </c>
      <c r="D47" s="143" t="s">
        <v>1545</v>
      </c>
      <c r="E47" s="143" t="s">
        <v>1500</v>
      </c>
      <c r="F47" s="143" t="s">
        <v>1505</v>
      </c>
      <c r="M47" s="143" t="s">
        <v>1506</v>
      </c>
      <c r="N47" s="143" t="s">
        <v>1335</v>
      </c>
      <c r="O47" s="139">
        <v>44064</v>
      </c>
      <c r="P47" s="139">
        <v>44082</v>
      </c>
      <c r="Q47" s="139">
        <v>44059</v>
      </c>
      <c r="R47" s="139">
        <v>44065</v>
      </c>
      <c r="S47" s="140">
        <v>34</v>
      </c>
      <c r="T47" s="140">
        <v>6</v>
      </c>
      <c r="U47" s="140">
        <v>1</v>
      </c>
      <c r="V47" s="141">
        <v>0</v>
      </c>
      <c r="W47" s="140">
        <v>0</v>
      </c>
      <c r="X47" s="142">
        <v>1</v>
      </c>
      <c r="Y47" s="142">
        <v>0</v>
      </c>
      <c r="Z47" s="142">
        <v>0</v>
      </c>
      <c r="AC47" s="141">
        <v>0</v>
      </c>
    </row>
    <row r="48" spans="1:29">
      <c r="A48" s="143" t="s">
        <v>1119</v>
      </c>
      <c r="B48" s="143" t="s">
        <v>1505</v>
      </c>
      <c r="C48" s="143" t="s">
        <v>1101</v>
      </c>
      <c r="D48" s="143" t="s">
        <v>1545</v>
      </c>
      <c r="E48" s="143" t="s">
        <v>1500</v>
      </c>
      <c r="F48" s="143" t="s">
        <v>1505</v>
      </c>
      <c r="M48" s="143" t="s">
        <v>1506</v>
      </c>
      <c r="N48" s="143" t="s">
        <v>1335</v>
      </c>
      <c r="O48" s="139">
        <v>44064</v>
      </c>
      <c r="P48" s="139">
        <v>44082</v>
      </c>
      <c r="Q48" s="139">
        <v>44066</v>
      </c>
      <c r="R48" s="139">
        <v>44072</v>
      </c>
      <c r="S48" s="140">
        <v>35</v>
      </c>
      <c r="T48" s="140">
        <v>7</v>
      </c>
      <c r="U48" s="140">
        <v>5</v>
      </c>
      <c r="V48" s="141">
        <v>0</v>
      </c>
      <c r="W48" s="140">
        <v>0</v>
      </c>
      <c r="X48" s="142">
        <v>1</v>
      </c>
      <c r="Y48" s="142">
        <v>0</v>
      </c>
      <c r="Z48" s="142">
        <v>0</v>
      </c>
      <c r="AC48" s="141">
        <v>0</v>
      </c>
    </row>
    <row r="49" spans="1:29">
      <c r="A49" s="143" t="s">
        <v>1119</v>
      </c>
      <c r="B49" s="143" t="s">
        <v>1505</v>
      </c>
      <c r="C49" s="143" t="s">
        <v>1101</v>
      </c>
      <c r="D49" s="143" t="s">
        <v>1545</v>
      </c>
      <c r="E49" s="143" t="s">
        <v>1500</v>
      </c>
      <c r="F49" s="143" t="s">
        <v>1505</v>
      </c>
      <c r="M49" s="143" t="s">
        <v>1506</v>
      </c>
      <c r="N49" s="143" t="s">
        <v>1335</v>
      </c>
      <c r="O49" s="139">
        <v>44064</v>
      </c>
      <c r="P49" s="139">
        <v>44082</v>
      </c>
      <c r="Q49" s="139">
        <v>44073</v>
      </c>
      <c r="R49" s="139">
        <v>44079</v>
      </c>
      <c r="S49" s="140">
        <v>36</v>
      </c>
      <c r="T49" s="140">
        <v>8</v>
      </c>
      <c r="U49" s="140">
        <v>5</v>
      </c>
      <c r="V49" s="141">
        <v>0</v>
      </c>
      <c r="W49" s="140">
        <v>0</v>
      </c>
      <c r="X49" s="142">
        <v>1</v>
      </c>
      <c r="Y49" s="142">
        <v>0</v>
      </c>
      <c r="Z49" s="142">
        <v>0</v>
      </c>
      <c r="AC49" s="141">
        <v>0</v>
      </c>
    </row>
    <row r="50" spans="1:29">
      <c r="A50" s="143" t="s">
        <v>1119</v>
      </c>
      <c r="B50" s="143" t="s">
        <v>1505</v>
      </c>
      <c r="C50" s="143" t="s">
        <v>1101</v>
      </c>
      <c r="D50" s="143" t="s">
        <v>1545</v>
      </c>
      <c r="E50" s="143" t="s">
        <v>1500</v>
      </c>
      <c r="F50" s="143" t="s">
        <v>1505</v>
      </c>
      <c r="M50" s="143" t="s">
        <v>1506</v>
      </c>
      <c r="N50" s="143" t="s">
        <v>1335</v>
      </c>
      <c r="O50" s="139">
        <v>44064</v>
      </c>
      <c r="P50" s="139">
        <v>44082</v>
      </c>
      <c r="Q50" s="139">
        <v>44080</v>
      </c>
      <c r="R50" s="139">
        <v>44086</v>
      </c>
      <c r="S50" s="140">
        <v>37</v>
      </c>
      <c r="T50" s="140">
        <v>9</v>
      </c>
      <c r="U50" s="140">
        <v>2</v>
      </c>
      <c r="V50" s="141">
        <v>0</v>
      </c>
      <c r="W50" s="140">
        <v>0</v>
      </c>
      <c r="X50" s="142">
        <v>1</v>
      </c>
      <c r="Y50" s="142">
        <v>0</v>
      </c>
      <c r="Z50" s="142">
        <v>0</v>
      </c>
      <c r="AC50" s="141">
        <v>0</v>
      </c>
    </row>
    <row r="51" spans="1:29">
      <c r="A51" s="143" t="s">
        <v>1118</v>
      </c>
      <c r="B51" s="143" t="s">
        <v>1507</v>
      </c>
      <c r="C51" s="143" t="s">
        <v>1101</v>
      </c>
      <c r="D51" s="143" t="s">
        <v>1545</v>
      </c>
      <c r="E51" s="143" t="s">
        <v>1507</v>
      </c>
      <c r="M51" s="143" t="s">
        <v>1508</v>
      </c>
      <c r="N51" s="143" t="s">
        <v>1335</v>
      </c>
      <c r="O51" s="139">
        <v>44085</v>
      </c>
      <c r="P51" s="139">
        <v>44089</v>
      </c>
      <c r="Q51" s="139">
        <v>44080</v>
      </c>
      <c r="R51" s="139">
        <v>44086</v>
      </c>
      <c r="S51" s="140">
        <v>37</v>
      </c>
      <c r="T51" s="140">
        <v>9</v>
      </c>
      <c r="U51" s="140">
        <v>1</v>
      </c>
      <c r="V51" s="141">
        <v>0</v>
      </c>
      <c r="W51" s="140">
        <v>0</v>
      </c>
      <c r="X51" s="142">
        <v>1</v>
      </c>
      <c r="Y51" s="142">
        <v>0</v>
      </c>
      <c r="Z51" s="142">
        <v>0</v>
      </c>
      <c r="AC51" s="141">
        <v>0</v>
      </c>
    </row>
    <row r="52" spans="1:29">
      <c r="A52" s="143" t="s">
        <v>1118</v>
      </c>
      <c r="B52" s="143" t="s">
        <v>1507</v>
      </c>
      <c r="C52" s="143" t="s">
        <v>1101</v>
      </c>
      <c r="D52" s="143" t="s">
        <v>1545</v>
      </c>
      <c r="E52" s="143" t="s">
        <v>1507</v>
      </c>
      <c r="M52" s="143" t="s">
        <v>1508</v>
      </c>
      <c r="N52" s="143" t="s">
        <v>1335</v>
      </c>
      <c r="O52" s="139">
        <v>44085</v>
      </c>
      <c r="P52" s="139">
        <v>44089</v>
      </c>
      <c r="Q52" s="139">
        <v>44087</v>
      </c>
      <c r="R52" s="139">
        <v>44093</v>
      </c>
      <c r="S52" s="140">
        <v>38</v>
      </c>
      <c r="T52" s="140">
        <v>10</v>
      </c>
      <c r="U52" s="140">
        <v>2</v>
      </c>
      <c r="V52" s="141">
        <v>0</v>
      </c>
      <c r="W52" s="140">
        <v>0</v>
      </c>
      <c r="X52" s="142">
        <v>1</v>
      </c>
      <c r="Y52" s="142">
        <v>0</v>
      </c>
      <c r="Z52" s="142">
        <v>0</v>
      </c>
      <c r="AC52" s="141">
        <v>0</v>
      </c>
    </row>
    <row r="53" spans="1:29">
      <c r="A53" s="143" t="s">
        <v>1119</v>
      </c>
      <c r="B53" s="143" t="s">
        <v>1510</v>
      </c>
      <c r="C53" s="143" t="s">
        <v>1101</v>
      </c>
      <c r="D53" s="143" t="s">
        <v>1546</v>
      </c>
      <c r="E53" s="143" t="s">
        <v>1509</v>
      </c>
      <c r="F53" s="143" t="s">
        <v>1510</v>
      </c>
      <c r="M53" s="143" t="s">
        <v>1511</v>
      </c>
      <c r="N53" s="143" t="s">
        <v>1335</v>
      </c>
      <c r="O53" s="139">
        <v>44085</v>
      </c>
      <c r="P53" s="139">
        <v>44089</v>
      </c>
      <c r="Q53" s="139">
        <v>44080</v>
      </c>
      <c r="R53" s="139">
        <v>44086</v>
      </c>
      <c r="S53" s="140">
        <v>37</v>
      </c>
      <c r="T53" s="140">
        <v>9</v>
      </c>
      <c r="U53" s="140">
        <v>1</v>
      </c>
      <c r="V53" s="141">
        <v>0</v>
      </c>
      <c r="W53" s="140">
        <v>0</v>
      </c>
      <c r="X53" s="142">
        <v>1</v>
      </c>
      <c r="Y53" s="142">
        <v>0</v>
      </c>
      <c r="Z53" s="142">
        <v>0</v>
      </c>
      <c r="AC53" s="141">
        <v>0</v>
      </c>
    </row>
    <row r="54" spans="1:29">
      <c r="A54" s="143" t="s">
        <v>1119</v>
      </c>
      <c r="B54" s="143" t="s">
        <v>1510</v>
      </c>
      <c r="C54" s="143" t="s">
        <v>1101</v>
      </c>
      <c r="D54" s="143" t="s">
        <v>1546</v>
      </c>
      <c r="E54" s="143" t="s">
        <v>1509</v>
      </c>
      <c r="F54" s="143" t="s">
        <v>1510</v>
      </c>
      <c r="M54" s="143" t="s">
        <v>1511</v>
      </c>
      <c r="N54" s="143" t="s">
        <v>1335</v>
      </c>
      <c r="O54" s="139">
        <v>44085</v>
      </c>
      <c r="P54" s="139">
        <v>44089</v>
      </c>
      <c r="Q54" s="139">
        <v>44087</v>
      </c>
      <c r="R54" s="139">
        <v>44093</v>
      </c>
      <c r="S54" s="140">
        <v>38</v>
      </c>
      <c r="T54" s="140">
        <v>10</v>
      </c>
      <c r="U54" s="140">
        <v>2</v>
      </c>
      <c r="V54" s="141">
        <v>0</v>
      </c>
      <c r="W54" s="140">
        <v>0</v>
      </c>
      <c r="X54" s="142">
        <v>1</v>
      </c>
      <c r="Y54" s="142">
        <v>0</v>
      </c>
      <c r="Z54" s="142">
        <v>0</v>
      </c>
      <c r="AC54" s="141">
        <v>0</v>
      </c>
    </row>
    <row r="55" spans="1:29">
      <c r="A55" s="143" t="s">
        <v>1121</v>
      </c>
      <c r="B55" s="143" t="s">
        <v>1514</v>
      </c>
      <c r="C55" s="143" t="s">
        <v>1101</v>
      </c>
      <c r="D55" s="143" t="s">
        <v>1546</v>
      </c>
      <c r="E55" s="143" t="s">
        <v>1509</v>
      </c>
      <c r="F55" s="143" t="s">
        <v>1512</v>
      </c>
      <c r="G55" s="143" t="s">
        <v>1513</v>
      </c>
      <c r="H55" s="143" t="s">
        <v>1514</v>
      </c>
      <c r="M55" s="143" t="s">
        <v>1515</v>
      </c>
      <c r="N55" s="143" t="s">
        <v>1335</v>
      </c>
      <c r="O55" s="139">
        <v>44085</v>
      </c>
      <c r="P55" s="139">
        <v>44089</v>
      </c>
      <c r="Q55" s="139">
        <v>44080</v>
      </c>
      <c r="R55" s="139">
        <v>44086</v>
      </c>
      <c r="S55" s="140">
        <v>37</v>
      </c>
      <c r="T55" s="140">
        <v>9</v>
      </c>
      <c r="U55" s="140">
        <v>1</v>
      </c>
      <c r="V55" s="141">
        <v>0</v>
      </c>
      <c r="W55" s="140">
        <v>0</v>
      </c>
      <c r="X55" s="142">
        <v>1</v>
      </c>
      <c r="Y55" s="142">
        <v>0</v>
      </c>
      <c r="Z55" s="142">
        <v>0</v>
      </c>
      <c r="AC55" s="141">
        <v>0</v>
      </c>
    </row>
    <row r="56" spans="1:29">
      <c r="A56" s="143" t="s">
        <v>1121</v>
      </c>
      <c r="B56" s="143" t="s">
        <v>1514</v>
      </c>
      <c r="C56" s="143" t="s">
        <v>1101</v>
      </c>
      <c r="D56" s="143" t="s">
        <v>1546</v>
      </c>
      <c r="E56" s="143" t="s">
        <v>1509</v>
      </c>
      <c r="F56" s="143" t="s">
        <v>1512</v>
      </c>
      <c r="G56" s="143" t="s">
        <v>1513</v>
      </c>
      <c r="H56" s="143" t="s">
        <v>1514</v>
      </c>
      <c r="M56" s="143" t="s">
        <v>1515</v>
      </c>
      <c r="N56" s="143" t="s">
        <v>1335</v>
      </c>
      <c r="O56" s="139">
        <v>44085</v>
      </c>
      <c r="P56" s="139">
        <v>44089</v>
      </c>
      <c r="Q56" s="139">
        <v>44087</v>
      </c>
      <c r="R56" s="139">
        <v>44093</v>
      </c>
      <c r="S56" s="140">
        <v>38</v>
      </c>
      <c r="T56" s="140">
        <v>10</v>
      </c>
      <c r="U56" s="140">
        <v>2</v>
      </c>
      <c r="V56" s="141">
        <v>0</v>
      </c>
      <c r="W56" s="140">
        <v>0</v>
      </c>
      <c r="X56" s="142">
        <v>1</v>
      </c>
      <c r="Y56" s="142">
        <v>0</v>
      </c>
      <c r="Z56" s="142">
        <v>0</v>
      </c>
      <c r="AC56" s="141">
        <v>0</v>
      </c>
    </row>
    <row r="57" spans="1:29">
      <c r="A57" s="143" t="s">
        <v>1121</v>
      </c>
      <c r="B57" s="143" t="s">
        <v>1516</v>
      </c>
      <c r="C57" s="143" t="s">
        <v>1101</v>
      </c>
      <c r="D57" s="143" t="s">
        <v>1546</v>
      </c>
      <c r="E57" s="143" t="s">
        <v>1509</v>
      </c>
      <c r="F57" s="143" t="s">
        <v>1512</v>
      </c>
      <c r="G57" s="143" t="s">
        <v>1513</v>
      </c>
      <c r="H57" s="143" t="s">
        <v>1516</v>
      </c>
      <c r="M57" s="143" t="s">
        <v>1517</v>
      </c>
      <c r="N57" s="143" t="s">
        <v>1335</v>
      </c>
      <c r="O57" s="139">
        <v>44092</v>
      </c>
      <c r="P57" s="139">
        <v>44096</v>
      </c>
      <c r="Q57" s="139">
        <v>44087</v>
      </c>
      <c r="R57" s="139">
        <v>44093</v>
      </c>
      <c r="S57" s="140">
        <v>38</v>
      </c>
      <c r="T57" s="140">
        <v>10</v>
      </c>
      <c r="U57" s="140">
        <v>1</v>
      </c>
      <c r="V57" s="141">
        <v>0</v>
      </c>
      <c r="W57" s="140">
        <v>0</v>
      </c>
      <c r="X57" s="142">
        <v>1</v>
      </c>
      <c r="Y57" s="142">
        <v>0</v>
      </c>
      <c r="Z57" s="142">
        <v>0</v>
      </c>
      <c r="AC57" s="141">
        <v>0</v>
      </c>
    </row>
    <row r="58" spans="1:29">
      <c r="A58" s="143" t="s">
        <v>1121</v>
      </c>
      <c r="B58" s="143" t="s">
        <v>1516</v>
      </c>
      <c r="C58" s="143" t="s">
        <v>1101</v>
      </c>
      <c r="D58" s="143" t="s">
        <v>1546</v>
      </c>
      <c r="E58" s="143" t="s">
        <v>1509</v>
      </c>
      <c r="F58" s="143" t="s">
        <v>1512</v>
      </c>
      <c r="G58" s="143" t="s">
        <v>1513</v>
      </c>
      <c r="H58" s="143" t="s">
        <v>1516</v>
      </c>
      <c r="M58" s="143" t="s">
        <v>1517</v>
      </c>
      <c r="N58" s="143" t="s">
        <v>1335</v>
      </c>
      <c r="O58" s="139">
        <v>44092</v>
      </c>
      <c r="P58" s="139">
        <v>44096</v>
      </c>
      <c r="Q58" s="139">
        <v>44094</v>
      </c>
      <c r="R58" s="139">
        <v>44100</v>
      </c>
      <c r="S58" s="140">
        <v>39</v>
      </c>
      <c r="T58" s="140">
        <v>11</v>
      </c>
      <c r="U58" s="140">
        <v>2</v>
      </c>
      <c r="V58" s="141">
        <v>0</v>
      </c>
      <c r="W58" s="140">
        <v>0</v>
      </c>
      <c r="X58" s="142">
        <v>1</v>
      </c>
      <c r="Y58" s="142">
        <v>0</v>
      </c>
      <c r="Z58" s="142">
        <v>0</v>
      </c>
      <c r="AC58" s="141">
        <v>0</v>
      </c>
    </row>
    <row r="59" spans="1:29">
      <c r="A59" s="143" t="s">
        <v>1121</v>
      </c>
      <c r="B59" s="143" t="s">
        <v>1518</v>
      </c>
      <c r="C59" s="143" t="s">
        <v>1101</v>
      </c>
      <c r="D59" s="143" t="s">
        <v>1546</v>
      </c>
      <c r="E59" s="143" t="s">
        <v>1509</v>
      </c>
      <c r="F59" s="143" t="s">
        <v>1512</v>
      </c>
      <c r="G59" s="143" t="s">
        <v>1513</v>
      </c>
      <c r="H59" s="143" t="s">
        <v>1518</v>
      </c>
      <c r="M59" s="143" t="s">
        <v>1519</v>
      </c>
      <c r="N59" s="143" t="s">
        <v>1335</v>
      </c>
      <c r="O59" s="139">
        <v>44092</v>
      </c>
      <c r="P59" s="139">
        <v>44103</v>
      </c>
      <c r="Q59" s="139">
        <v>44087</v>
      </c>
      <c r="R59" s="139">
        <v>44093</v>
      </c>
      <c r="S59" s="140">
        <v>38</v>
      </c>
      <c r="T59" s="140">
        <v>10</v>
      </c>
      <c r="U59" s="140">
        <v>1</v>
      </c>
      <c r="V59" s="141">
        <v>0</v>
      </c>
      <c r="W59" s="140">
        <v>0</v>
      </c>
      <c r="X59" s="142">
        <v>1</v>
      </c>
      <c r="Y59" s="142">
        <v>0</v>
      </c>
      <c r="Z59" s="142">
        <v>0</v>
      </c>
      <c r="AC59" s="141">
        <v>0</v>
      </c>
    </row>
    <row r="60" spans="1:29">
      <c r="A60" s="143" t="s">
        <v>1121</v>
      </c>
      <c r="B60" s="143" t="s">
        <v>1518</v>
      </c>
      <c r="C60" s="143" t="s">
        <v>1101</v>
      </c>
      <c r="D60" s="143" t="s">
        <v>1546</v>
      </c>
      <c r="E60" s="143" t="s">
        <v>1509</v>
      </c>
      <c r="F60" s="143" t="s">
        <v>1512</v>
      </c>
      <c r="G60" s="143" t="s">
        <v>1513</v>
      </c>
      <c r="H60" s="143" t="s">
        <v>1518</v>
      </c>
      <c r="M60" s="143" t="s">
        <v>1519</v>
      </c>
      <c r="N60" s="143" t="s">
        <v>1335</v>
      </c>
      <c r="O60" s="139">
        <v>44092</v>
      </c>
      <c r="P60" s="139">
        <v>44103</v>
      </c>
      <c r="Q60" s="139">
        <v>44094</v>
      </c>
      <c r="R60" s="139">
        <v>44100</v>
      </c>
      <c r="S60" s="140">
        <v>39</v>
      </c>
      <c r="T60" s="140">
        <v>11</v>
      </c>
      <c r="U60" s="140">
        <v>5</v>
      </c>
      <c r="V60" s="141">
        <v>0</v>
      </c>
      <c r="W60" s="140">
        <v>0</v>
      </c>
      <c r="X60" s="142">
        <v>1</v>
      </c>
      <c r="Y60" s="142">
        <v>0</v>
      </c>
      <c r="Z60" s="142">
        <v>0</v>
      </c>
      <c r="AC60" s="141">
        <v>0</v>
      </c>
    </row>
    <row r="61" spans="1:29">
      <c r="A61" s="143" t="s">
        <v>1121</v>
      </c>
      <c r="B61" s="143" t="s">
        <v>1518</v>
      </c>
      <c r="C61" s="143" t="s">
        <v>1101</v>
      </c>
      <c r="D61" s="143" t="s">
        <v>1546</v>
      </c>
      <c r="E61" s="143" t="s">
        <v>1509</v>
      </c>
      <c r="F61" s="143" t="s">
        <v>1512</v>
      </c>
      <c r="G61" s="143" t="s">
        <v>1513</v>
      </c>
      <c r="H61" s="143" t="s">
        <v>1518</v>
      </c>
      <c r="M61" s="143" t="s">
        <v>1519</v>
      </c>
      <c r="N61" s="143" t="s">
        <v>1335</v>
      </c>
      <c r="O61" s="139">
        <v>44092</v>
      </c>
      <c r="P61" s="139">
        <v>44103</v>
      </c>
      <c r="Q61" s="139">
        <v>44101</v>
      </c>
      <c r="R61" s="139">
        <v>44107</v>
      </c>
      <c r="S61" s="140">
        <v>40</v>
      </c>
      <c r="T61" s="140">
        <v>12</v>
      </c>
      <c r="U61" s="140">
        <v>2</v>
      </c>
      <c r="V61" s="141">
        <v>0</v>
      </c>
      <c r="W61" s="140">
        <v>0</v>
      </c>
      <c r="X61" s="142">
        <v>1</v>
      </c>
      <c r="Y61" s="142">
        <v>0</v>
      </c>
      <c r="Z61" s="142">
        <v>0</v>
      </c>
      <c r="AC61" s="141">
        <v>0</v>
      </c>
    </row>
    <row r="62" spans="1:29">
      <c r="A62" s="143" t="s">
        <v>1120</v>
      </c>
      <c r="B62" s="143" t="s">
        <v>1520</v>
      </c>
      <c r="C62" s="143" t="s">
        <v>1101</v>
      </c>
      <c r="D62" s="143" t="s">
        <v>1546</v>
      </c>
      <c r="E62" s="143" t="s">
        <v>1509</v>
      </c>
      <c r="F62" s="143" t="s">
        <v>1512</v>
      </c>
      <c r="G62" s="143" t="s">
        <v>1520</v>
      </c>
      <c r="M62" s="143" t="s">
        <v>1521</v>
      </c>
      <c r="N62" s="143" t="s">
        <v>1335</v>
      </c>
      <c r="O62" s="139">
        <v>44085</v>
      </c>
      <c r="P62" s="139">
        <v>44144</v>
      </c>
      <c r="Q62" s="139">
        <v>44080</v>
      </c>
      <c r="R62" s="139">
        <v>44086</v>
      </c>
      <c r="S62" s="140">
        <v>37</v>
      </c>
      <c r="T62" s="140">
        <v>9</v>
      </c>
      <c r="U62" s="140">
        <v>1</v>
      </c>
      <c r="V62" s="141">
        <v>0</v>
      </c>
      <c r="W62" s="140">
        <v>0</v>
      </c>
      <c r="X62" s="142">
        <v>1</v>
      </c>
      <c r="Y62" s="142">
        <v>0</v>
      </c>
      <c r="Z62" s="142">
        <v>0</v>
      </c>
      <c r="AC62" s="141">
        <v>0</v>
      </c>
    </row>
    <row r="63" spans="1:29">
      <c r="A63" s="143" t="s">
        <v>1120</v>
      </c>
      <c r="B63" s="143" t="s">
        <v>1520</v>
      </c>
      <c r="C63" s="143" t="s">
        <v>1101</v>
      </c>
      <c r="D63" s="143" t="s">
        <v>1546</v>
      </c>
      <c r="E63" s="143" t="s">
        <v>1509</v>
      </c>
      <c r="F63" s="143" t="s">
        <v>1512</v>
      </c>
      <c r="G63" s="143" t="s">
        <v>1520</v>
      </c>
      <c r="M63" s="143" t="s">
        <v>1521</v>
      </c>
      <c r="N63" s="143" t="s">
        <v>1335</v>
      </c>
      <c r="O63" s="139">
        <v>44085</v>
      </c>
      <c r="P63" s="139">
        <v>44144</v>
      </c>
      <c r="Q63" s="139">
        <v>44087</v>
      </c>
      <c r="R63" s="139">
        <v>44093</v>
      </c>
      <c r="S63" s="140">
        <v>38</v>
      </c>
      <c r="T63" s="140">
        <v>10</v>
      </c>
      <c r="U63" s="140">
        <v>5</v>
      </c>
      <c r="V63" s="141">
        <v>0</v>
      </c>
      <c r="W63" s="140">
        <v>0</v>
      </c>
      <c r="X63" s="142">
        <v>1</v>
      </c>
      <c r="Y63" s="142">
        <v>0</v>
      </c>
      <c r="Z63" s="142">
        <v>0</v>
      </c>
      <c r="AC63" s="141">
        <v>0</v>
      </c>
    </row>
    <row r="64" spans="1:29">
      <c r="A64" s="143" t="s">
        <v>1120</v>
      </c>
      <c r="B64" s="143" t="s">
        <v>1520</v>
      </c>
      <c r="C64" s="143" t="s">
        <v>1101</v>
      </c>
      <c r="D64" s="143" t="s">
        <v>1546</v>
      </c>
      <c r="E64" s="143" t="s">
        <v>1509</v>
      </c>
      <c r="F64" s="143" t="s">
        <v>1512</v>
      </c>
      <c r="G64" s="143" t="s">
        <v>1520</v>
      </c>
      <c r="M64" s="143" t="s">
        <v>1521</v>
      </c>
      <c r="N64" s="143" t="s">
        <v>1335</v>
      </c>
      <c r="O64" s="139">
        <v>44085</v>
      </c>
      <c r="P64" s="139">
        <v>44144</v>
      </c>
      <c r="Q64" s="139">
        <v>44094</v>
      </c>
      <c r="R64" s="139">
        <v>44100</v>
      </c>
      <c r="S64" s="140">
        <v>39</v>
      </c>
      <c r="T64" s="140">
        <v>11</v>
      </c>
      <c r="U64" s="140">
        <v>5</v>
      </c>
      <c r="V64" s="141">
        <v>0</v>
      </c>
      <c r="W64" s="140">
        <v>0</v>
      </c>
      <c r="X64" s="142">
        <v>1</v>
      </c>
      <c r="Y64" s="142">
        <v>0</v>
      </c>
      <c r="Z64" s="142">
        <v>0</v>
      </c>
      <c r="AC64" s="141">
        <v>0</v>
      </c>
    </row>
    <row r="65" spans="1:29">
      <c r="A65" s="143" t="s">
        <v>1120</v>
      </c>
      <c r="B65" s="143" t="s">
        <v>1520</v>
      </c>
      <c r="C65" s="143" t="s">
        <v>1101</v>
      </c>
      <c r="D65" s="143" t="s">
        <v>1546</v>
      </c>
      <c r="E65" s="143" t="s">
        <v>1509</v>
      </c>
      <c r="F65" s="143" t="s">
        <v>1512</v>
      </c>
      <c r="G65" s="143" t="s">
        <v>1520</v>
      </c>
      <c r="M65" s="143" t="s">
        <v>1521</v>
      </c>
      <c r="N65" s="143" t="s">
        <v>1335</v>
      </c>
      <c r="O65" s="139">
        <v>44085</v>
      </c>
      <c r="P65" s="139">
        <v>44144</v>
      </c>
      <c r="Q65" s="139">
        <v>44101</v>
      </c>
      <c r="R65" s="139">
        <v>44107</v>
      </c>
      <c r="S65" s="140">
        <v>40</v>
      </c>
      <c r="T65" s="140">
        <v>12</v>
      </c>
      <c r="U65" s="140">
        <v>2</v>
      </c>
      <c r="V65" s="141">
        <v>0</v>
      </c>
      <c r="W65" s="140">
        <v>0</v>
      </c>
      <c r="X65" s="142">
        <v>1</v>
      </c>
      <c r="Y65" s="142">
        <v>0</v>
      </c>
      <c r="Z65" s="142">
        <v>0</v>
      </c>
      <c r="AC65" s="141">
        <v>0</v>
      </c>
    </row>
    <row r="66" spans="1:29">
      <c r="A66" s="143" t="s">
        <v>1120</v>
      </c>
      <c r="B66" s="143" t="s">
        <v>1520</v>
      </c>
      <c r="C66" s="143" t="s">
        <v>1101</v>
      </c>
      <c r="D66" s="143" t="s">
        <v>1546</v>
      </c>
      <c r="E66" s="143" t="s">
        <v>1509</v>
      </c>
      <c r="F66" s="143" t="s">
        <v>1512</v>
      </c>
      <c r="G66" s="143" t="s">
        <v>1520</v>
      </c>
      <c r="M66" s="143" t="s">
        <v>1521</v>
      </c>
      <c r="N66" s="143" t="s">
        <v>1335</v>
      </c>
      <c r="O66" s="139">
        <v>44085</v>
      </c>
      <c r="P66" s="139">
        <v>44144</v>
      </c>
      <c r="Q66" s="139">
        <v>44108</v>
      </c>
      <c r="R66" s="139">
        <v>44114</v>
      </c>
      <c r="S66" s="140">
        <v>41</v>
      </c>
      <c r="T66" s="140">
        <v>13</v>
      </c>
      <c r="U66" s="140">
        <v>4</v>
      </c>
      <c r="V66" s="141">
        <v>0</v>
      </c>
      <c r="W66" s="140">
        <v>0</v>
      </c>
      <c r="X66" s="142">
        <v>1</v>
      </c>
      <c r="Y66" s="142">
        <v>0</v>
      </c>
      <c r="Z66" s="142">
        <v>0</v>
      </c>
      <c r="AC66" s="141">
        <v>0</v>
      </c>
    </row>
    <row r="67" spans="1:29">
      <c r="A67" s="143" t="s">
        <v>1120</v>
      </c>
      <c r="B67" s="143" t="s">
        <v>1520</v>
      </c>
      <c r="C67" s="143" t="s">
        <v>1101</v>
      </c>
      <c r="D67" s="143" t="s">
        <v>1546</v>
      </c>
      <c r="E67" s="143" t="s">
        <v>1509</v>
      </c>
      <c r="F67" s="143" t="s">
        <v>1512</v>
      </c>
      <c r="G67" s="143" t="s">
        <v>1520</v>
      </c>
      <c r="M67" s="143" t="s">
        <v>1521</v>
      </c>
      <c r="N67" s="143" t="s">
        <v>1335</v>
      </c>
      <c r="O67" s="139">
        <v>44085</v>
      </c>
      <c r="P67" s="139">
        <v>44144</v>
      </c>
      <c r="Q67" s="139">
        <v>44115</v>
      </c>
      <c r="R67" s="139">
        <v>44121</v>
      </c>
      <c r="S67" s="140">
        <v>42</v>
      </c>
      <c r="T67" s="140">
        <v>14</v>
      </c>
      <c r="U67" s="140">
        <v>5</v>
      </c>
      <c r="V67" s="141">
        <v>0</v>
      </c>
      <c r="W67" s="140">
        <v>0</v>
      </c>
      <c r="X67" s="142">
        <v>1</v>
      </c>
      <c r="Y67" s="142">
        <v>0</v>
      </c>
      <c r="Z67" s="142">
        <v>0</v>
      </c>
      <c r="AC67" s="141">
        <v>0</v>
      </c>
    </row>
    <row r="68" spans="1:29">
      <c r="A68" s="143" t="s">
        <v>1120</v>
      </c>
      <c r="B68" s="143" t="s">
        <v>1520</v>
      </c>
      <c r="C68" s="143" t="s">
        <v>1101</v>
      </c>
      <c r="D68" s="143" t="s">
        <v>1546</v>
      </c>
      <c r="E68" s="143" t="s">
        <v>1509</v>
      </c>
      <c r="F68" s="143" t="s">
        <v>1512</v>
      </c>
      <c r="G68" s="143" t="s">
        <v>1520</v>
      </c>
      <c r="M68" s="143" t="s">
        <v>1521</v>
      </c>
      <c r="N68" s="143" t="s">
        <v>1335</v>
      </c>
      <c r="O68" s="139">
        <v>44085</v>
      </c>
      <c r="P68" s="139">
        <v>44144</v>
      </c>
      <c r="Q68" s="139">
        <v>44122</v>
      </c>
      <c r="R68" s="139">
        <v>44128</v>
      </c>
      <c r="S68" s="140">
        <v>43</v>
      </c>
      <c r="T68" s="140">
        <v>15</v>
      </c>
      <c r="U68" s="140">
        <v>5</v>
      </c>
      <c r="V68" s="141">
        <v>0</v>
      </c>
      <c r="W68" s="140">
        <v>0</v>
      </c>
      <c r="X68" s="142">
        <v>1</v>
      </c>
      <c r="Y68" s="142">
        <v>0</v>
      </c>
      <c r="Z68" s="142">
        <v>0</v>
      </c>
      <c r="AC68" s="141">
        <v>0</v>
      </c>
    </row>
    <row r="69" spans="1:29">
      <c r="A69" s="143" t="s">
        <v>1120</v>
      </c>
      <c r="B69" s="143" t="s">
        <v>1520</v>
      </c>
      <c r="C69" s="143" t="s">
        <v>1101</v>
      </c>
      <c r="D69" s="143" t="s">
        <v>1546</v>
      </c>
      <c r="E69" s="143" t="s">
        <v>1509</v>
      </c>
      <c r="F69" s="143" t="s">
        <v>1512</v>
      </c>
      <c r="G69" s="143" t="s">
        <v>1520</v>
      </c>
      <c r="M69" s="143" t="s">
        <v>1521</v>
      </c>
      <c r="N69" s="143" t="s">
        <v>1335</v>
      </c>
      <c r="O69" s="139">
        <v>44085</v>
      </c>
      <c r="P69" s="139">
        <v>44144</v>
      </c>
      <c r="Q69" s="139">
        <v>44129</v>
      </c>
      <c r="R69" s="139">
        <v>44135</v>
      </c>
      <c r="S69" s="140">
        <v>44</v>
      </c>
      <c r="T69" s="140">
        <v>16</v>
      </c>
      <c r="U69" s="140">
        <v>5</v>
      </c>
      <c r="V69" s="141">
        <v>0</v>
      </c>
      <c r="W69" s="140">
        <v>0</v>
      </c>
      <c r="X69" s="142">
        <v>1</v>
      </c>
      <c r="Y69" s="142">
        <v>0</v>
      </c>
      <c r="Z69" s="142">
        <v>0</v>
      </c>
      <c r="AC69" s="141">
        <v>0</v>
      </c>
    </row>
    <row r="70" spans="1:29">
      <c r="A70" s="143" t="s">
        <v>1120</v>
      </c>
      <c r="B70" s="143" t="s">
        <v>1520</v>
      </c>
      <c r="C70" s="143" t="s">
        <v>1101</v>
      </c>
      <c r="D70" s="143" t="s">
        <v>1546</v>
      </c>
      <c r="E70" s="143" t="s">
        <v>1509</v>
      </c>
      <c r="F70" s="143" t="s">
        <v>1512</v>
      </c>
      <c r="G70" s="143" t="s">
        <v>1520</v>
      </c>
      <c r="M70" s="143" t="s">
        <v>1521</v>
      </c>
      <c r="N70" s="143" t="s">
        <v>1335</v>
      </c>
      <c r="O70" s="139">
        <v>44085</v>
      </c>
      <c r="P70" s="139">
        <v>44144</v>
      </c>
      <c r="Q70" s="139">
        <v>44136</v>
      </c>
      <c r="R70" s="139">
        <v>44142</v>
      </c>
      <c r="S70" s="140">
        <v>45</v>
      </c>
      <c r="T70" s="140">
        <v>17</v>
      </c>
      <c r="U70" s="140">
        <v>5</v>
      </c>
      <c r="V70" s="141">
        <v>0</v>
      </c>
      <c r="W70" s="140">
        <v>0</v>
      </c>
      <c r="X70" s="142">
        <v>1</v>
      </c>
      <c r="Y70" s="142">
        <v>0</v>
      </c>
      <c r="Z70" s="142">
        <v>0</v>
      </c>
      <c r="AC70" s="141">
        <v>0</v>
      </c>
    </row>
    <row r="71" spans="1:29">
      <c r="A71" s="143" t="s">
        <v>1120</v>
      </c>
      <c r="B71" s="143" t="s">
        <v>1520</v>
      </c>
      <c r="C71" s="143" t="s">
        <v>1101</v>
      </c>
      <c r="D71" s="143" t="s">
        <v>1546</v>
      </c>
      <c r="E71" s="143" t="s">
        <v>1509</v>
      </c>
      <c r="F71" s="143" t="s">
        <v>1512</v>
      </c>
      <c r="G71" s="143" t="s">
        <v>1520</v>
      </c>
      <c r="M71" s="143" t="s">
        <v>1521</v>
      </c>
      <c r="N71" s="143" t="s">
        <v>1335</v>
      </c>
      <c r="O71" s="139">
        <v>44085</v>
      </c>
      <c r="P71" s="139">
        <v>44144</v>
      </c>
      <c r="Q71" s="139">
        <v>44143</v>
      </c>
      <c r="R71" s="139">
        <v>44149</v>
      </c>
      <c r="S71" s="140">
        <v>46</v>
      </c>
      <c r="T71" s="140">
        <v>18</v>
      </c>
      <c r="U71" s="140">
        <v>1</v>
      </c>
      <c r="V71" s="141">
        <v>0</v>
      </c>
      <c r="W71" s="140">
        <v>0</v>
      </c>
      <c r="X71" s="142">
        <v>1</v>
      </c>
      <c r="Y71" s="142">
        <v>0</v>
      </c>
      <c r="Z71" s="142">
        <v>0</v>
      </c>
      <c r="AC71" s="141">
        <v>0</v>
      </c>
    </row>
    <row r="72" spans="1:29">
      <c r="A72" s="143" t="s">
        <v>1120</v>
      </c>
      <c r="B72" s="143" t="s">
        <v>1522</v>
      </c>
      <c r="C72" s="143" t="s">
        <v>1101</v>
      </c>
      <c r="D72" s="143" t="s">
        <v>1546</v>
      </c>
      <c r="E72" s="143" t="s">
        <v>1509</v>
      </c>
      <c r="F72" s="143" t="s">
        <v>1512</v>
      </c>
      <c r="G72" s="143" t="s">
        <v>1522</v>
      </c>
      <c r="M72" s="143" t="s">
        <v>1523</v>
      </c>
      <c r="N72" s="143" t="s">
        <v>1335</v>
      </c>
      <c r="O72" s="139">
        <v>44085</v>
      </c>
      <c r="P72" s="139">
        <v>44144</v>
      </c>
      <c r="Q72" s="139">
        <v>44080</v>
      </c>
      <c r="R72" s="139">
        <v>44086</v>
      </c>
      <c r="S72" s="140">
        <v>37</v>
      </c>
      <c r="T72" s="140">
        <v>9</v>
      </c>
      <c r="U72" s="140">
        <v>1</v>
      </c>
      <c r="V72" s="141">
        <v>0</v>
      </c>
      <c r="W72" s="140">
        <v>0</v>
      </c>
      <c r="X72" s="142">
        <v>1</v>
      </c>
      <c r="Y72" s="142">
        <v>0</v>
      </c>
      <c r="Z72" s="142">
        <v>0</v>
      </c>
      <c r="AC72" s="141">
        <v>0</v>
      </c>
    </row>
    <row r="73" spans="1:29">
      <c r="A73" s="143" t="s">
        <v>1120</v>
      </c>
      <c r="B73" s="143" t="s">
        <v>1522</v>
      </c>
      <c r="C73" s="143" t="s">
        <v>1101</v>
      </c>
      <c r="D73" s="143" t="s">
        <v>1546</v>
      </c>
      <c r="E73" s="143" t="s">
        <v>1509</v>
      </c>
      <c r="F73" s="143" t="s">
        <v>1512</v>
      </c>
      <c r="G73" s="143" t="s">
        <v>1522</v>
      </c>
      <c r="M73" s="143" t="s">
        <v>1523</v>
      </c>
      <c r="N73" s="143" t="s">
        <v>1335</v>
      </c>
      <c r="O73" s="139">
        <v>44085</v>
      </c>
      <c r="P73" s="139">
        <v>44144</v>
      </c>
      <c r="Q73" s="139">
        <v>44087</v>
      </c>
      <c r="R73" s="139">
        <v>44093</v>
      </c>
      <c r="S73" s="140">
        <v>38</v>
      </c>
      <c r="T73" s="140">
        <v>10</v>
      </c>
      <c r="U73" s="140">
        <v>5</v>
      </c>
      <c r="V73" s="141">
        <v>0</v>
      </c>
      <c r="W73" s="140">
        <v>0</v>
      </c>
      <c r="X73" s="142">
        <v>1</v>
      </c>
      <c r="Y73" s="142">
        <v>0</v>
      </c>
      <c r="Z73" s="142">
        <v>0</v>
      </c>
      <c r="AC73" s="141">
        <v>0</v>
      </c>
    </row>
    <row r="74" spans="1:29">
      <c r="A74" s="143" t="s">
        <v>1120</v>
      </c>
      <c r="B74" s="143" t="s">
        <v>1522</v>
      </c>
      <c r="C74" s="143" t="s">
        <v>1101</v>
      </c>
      <c r="D74" s="143" t="s">
        <v>1546</v>
      </c>
      <c r="E74" s="143" t="s">
        <v>1509</v>
      </c>
      <c r="F74" s="143" t="s">
        <v>1512</v>
      </c>
      <c r="G74" s="143" t="s">
        <v>1522</v>
      </c>
      <c r="M74" s="143" t="s">
        <v>1523</v>
      </c>
      <c r="N74" s="143" t="s">
        <v>1335</v>
      </c>
      <c r="O74" s="139">
        <v>44085</v>
      </c>
      <c r="P74" s="139">
        <v>44144</v>
      </c>
      <c r="Q74" s="139">
        <v>44094</v>
      </c>
      <c r="R74" s="139">
        <v>44100</v>
      </c>
      <c r="S74" s="140">
        <v>39</v>
      </c>
      <c r="T74" s="140">
        <v>11</v>
      </c>
      <c r="U74" s="140">
        <v>5</v>
      </c>
      <c r="V74" s="141">
        <v>0</v>
      </c>
      <c r="W74" s="140">
        <v>0</v>
      </c>
      <c r="X74" s="142">
        <v>1</v>
      </c>
      <c r="Y74" s="142">
        <v>0</v>
      </c>
      <c r="Z74" s="142">
        <v>0</v>
      </c>
      <c r="AC74" s="141">
        <v>0</v>
      </c>
    </row>
    <row r="75" spans="1:29">
      <c r="A75" s="143" t="s">
        <v>1120</v>
      </c>
      <c r="B75" s="143" t="s">
        <v>1522</v>
      </c>
      <c r="C75" s="143" t="s">
        <v>1101</v>
      </c>
      <c r="D75" s="143" t="s">
        <v>1546</v>
      </c>
      <c r="E75" s="143" t="s">
        <v>1509</v>
      </c>
      <c r="F75" s="143" t="s">
        <v>1512</v>
      </c>
      <c r="G75" s="143" t="s">
        <v>1522</v>
      </c>
      <c r="M75" s="143" t="s">
        <v>1523</v>
      </c>
      <c r="N75" s="143" t="s">
        <v>1335</v>
      </c>
      <c r="O75" s="139">
        <v>44085</v>
      </c>
      <c r="P75" s="139">
        <v>44144</v>
      </c>
      <c r="Q75" s="139">
        <v>44101</v>
      </c>
      <c r="R75" s="139">
        <v>44107</v>
      </c>
      <c r="S75" s="140">
        <v>40</v>
      </c>
      <c r="T75" s="140">
        <v>12</v>
      </c>
      <c r="U75" s="140">
        <v>2</v>
      </c>
      <c r="V75" s="141">
        <v>0</v>
      </c>
      <c r="W75" s="140">
        <v>0</v>
      </c>
      <c r="X75" s="142">
        <v>1</v>
      </c>
      <c r="Y75" s="142">
        <v>0</v>
      </c>
      <c r="Z75" s="142">
        <v>0</v>
      </c>
      <c r="AC75" s="141">
        <v>0</v>
      </c>
    </row>
    <row r="76" spans="1:29">
      <c r="A76" s="143" t="s">
        <v>1120</v>
      </c>
      <c r="B76" s="143" t="s">
        <v>1522</v>
      </c>
      <c r="C76" s="143" t="s">
        <v>1101</v>
      </c>
      <c r="D76" s="143" t="s">
        <v>1546</v>
      </c>
      <c r="E76" s="143" t="s">
        <v>1509</v>
      </c>
      <c r="F76" s="143" t="s">
        <v>1512</v>
      </c>
      <c r="G76" s="143" t="s">
        <v>1522</v>
      </c>
      <c r="M76" s="143" t="s">
        <v>1523</v>
      </c>
      <c r="N76" s="143" t="s">
        <v>1335</v>
      </c>
      <c r="O76" s="139">
        <v>44085</v>
      </c>
      <c r="P76" s="139">
        <v>44144</v>
      </c>
      <c r="Q76" s="139">
        <v>44108</v>
      </c>
      <c r="R76" s="139">
        <v>44114</v>
      </c>
      <c r="S76" s="140">
        <v>41</v>
      </c>
      <c r="T76" s="140">
        <v>13</v>
      </c>
      <c r="U76" s="140">
        <v>4</v>
      </c>
      <c r="V76" s="141">
        <v>0</v>
      </c>
      <c r="W76" s="140">
        <v>0</v>
      </c>
      <c r="X76" s="142">
        <v>1</v>
      </c>
      <c r="Y76" s="142">
        <v>0</v>
      </c>
      <c r="Z76" s="142">
        <v>0</v>
      </c>
      <c r="AC76" s="141">
        <v>0</v>
      </c>
    </row>
    <row r="77" spans="1:29">
      <c r="A77" s="143" t="s">
        <v>1120</v>
      </c>
      <c r="B77" s="143" t="s">
        <v>1522</v>
      </c>
      <c r="C77" s="143" t="s">
        <v>1101</v>
      </c>
      <c r="D77" s="143" t="s">
        <v>1546</v>
      </c>
      <c r="E77" s="143" t="s">
        <v>1509</v>
      </c>
      <c r="F77" s="143" t="s">
        <v>1512</v>
      </c>
      <c r="G77" s="143" t="s">
        <v>1522</v>
      </c>
      <c r="M77" s="143" t="s">
        <v>1523</v>
      </c>
      <c r="N77" s="143" t="s">
        <v>1335</v>
      </c>
      <c r="O77" s="139">
        <v>44085</v>
      </c>
      <c r="P77" s="139">
        <v>44144</v>
      </c>
      <c r="Q77" s="139">
        <v>44115</v>
      </c>
      <c r="R77" s="139">
        <v>44121</v>
      </c>
      <c r="S77" s="140">
        <v>42</v>
      </c>
      <c r="T77" s="140">
        <v>14</v>
      </c>
      <c r="U77" s="140">
        <v>5</v>
      </c>
      <c r="V77" s="141">
        <v>0</v>
      </c>
      <c r="W77" s="140">
        <v>0</v>
      </c>
      <c r="X77" s="142">
        <v>1</v>
      </c>
      <c r="Y77" s="142">
        <v>0</v>
      </c>
      <c r="Z77" s="142">
        <v>0</v>
      </c>
      <c r="AC77" s="141">
        <v>0</v>
      </c>
    </row>
    <row r="78" spans="1:29">
      <c r="A78" s="143" t="s">
        <v>1120</v>
      </c>
      <c r="B78" s="143" t="s">
        <v>1522</v>
      </c>
      <c r="C78" s="143" t="s">
        <v>1101</v>
      </c>
      <c r="D78" s="143" t="s">
        <v>1546</v>
      </c>
      <c r="E78" s="143" t="s">
        <v>1509</v>
      </c>
      <c r="F78" s="143" t="s">
        <v>1512</v>
      </c>
      <c r="G78" s="143" t="s">
        <v>1522</v>
      </c>
      <c r="M78" s="143" t="s">
        <v>1523</v>
      </c>
      <c r="N78" s="143" t="s">
        <v>1335</v>
      </c>
      <c r="O78" s="139">
        <v>44085</v>
      </c>
      <c r="P78" s="139">
        <v>44144</v>
      </c>
      <c r="Q78" s="139">
        <v>44122</v>
      </c>
      <c r="R78" s="139">
        <v>44128</v>
      </c>
      <c r="S78" s="140">
        <v>43</v>
      </c>
      <c r="T78" s="140">
        <v>15</v>
      </c>
      <c r="U78" s="140">
        <v>5</v>
      </c>
      <c r="V78" s="141">
        <v>0</v>
      </c>
      <c r="W78" s="140">
        <v>0</v>
      </c>
      <c r="X78" s="142">
        <v>1</v>
      </c>
      <c r="Y78" s="142">
        <v>0</v>
      </c>
      <c r="Z78" s="142">
        <v>0</v>
      </c>
      <c r="AC78" s="141">
        <v>0</v>
      </c>
    </row>
    <row r="79" spans="1:29">
      <c r="A79" s="143" t="s">
        <v>1120</v>
      </c>
      <c r="B79" s="143" t="s">
        <v>1522</v>
      </c>
      <c r="C79" s="143" t="s">
        <v>1101</v>
      </c>
      <c r="D79" s="143" t="s">
        <v>1546</v>
      </c>
      <c r="E79" s="143" t="s">
        <v>1509</v>
      </c>
      <c r="F79" s="143" t="s">
        <v>1512</v>
      </c>
      <c r="G79" s="143" t="s">
        <v>1522</v>
      </c>
      <c r="M79" s="143" t="s">
        <v>1523</v>
      </c>
      <c r="N79" s="143" t="s">
        <v>1335</v>
      </c>
      <c r="O79" s="139">
        <v>44085</v>
      </c>
      <c r="P79" s="139">
        <v>44144</v>
      </c>
      <c r="Q79" s="139">
        <v>44129</v>
      </c>
      <c r="R79" s="139">
        <v>44135</v>
      </c>
      <c r="S79" s="140">
        <v>44</v>
      </c>
      <c r="T79" s="140">
        <v>16</v>
      </c>
      <c r="U79" s="140">
        <v>5</v>
      </c>
      <c r="V79" s="141">
        <v>0</v>
      </c>
      <c r="W79" s="140">
        <v>0</v>
      </c>
      <c r="X79" s="142">
        <v>1</v>
      </c>
      <c r="Y79" s="142">
        <v>0</v>
      </c>
      <c r="Z79" s="142">
        <v>0</v>
      </c>
      <c r="AC79" s="141">
        <v>0</v>
      </c>
    </row>
    <row r="80" spans="1:29">
      <c r="A80" s="143" t="s">
        <v>1120</v>
      </c>
      <c r="B80" s="143" t="s">
        <v>1522</v>
      </c>
      <c r="C80" s="143" t="s">
        <v>1101</v>
      </c>
      <c r="D80" s="143" t="s">
        <v>1546</v>
      </c>
      <c r="E80" s="143" t="s">
        <v>1509</v>
      </c>
      <c r="F80" s="143" t="s">
        <v>1512</v>
      </c>
      <c r="G80" s="143" t="s">
        <v>1522</v>
      </c>
      <c r="M80" s="143" t="s">
        <v>1523</v>
      </c>
      <c r="N80" s="143" t="s">
        <v>1335</v>
      </c>
      <c r="O80" s="139">
        <v>44085</v>
      </c>
      <c r="P80" s="139">
        <v>44144</v>
      </c>
      <c r="Q80" s="139">
        <v>44136</v>
      </c>
      <c r="R80" s="139">
        <v>44142</v>
      </c>
      <c r="S80" s="140">
        <v>45</v>
      </c>
      <c r="T80" s="140">
        <v>17</v>
      </c>
      <c r="U80" s="140">
        <v>5</v>
      </c>
      <c r="V80" s="141">
        <v>0</v>
      </c>
      <c r="W80" s="140">
        <v>0</v>
      </c>
      <c r="X80" s="142">
        <v>1</v>
      </c>
      <c r="Y80" s="142">
        <v>0</v>
      </c>
      <c r="Z80" s="142">
        <v>0</v>
      </c>
      <c r="AC80" s="141">
        <v>0</v>
      </c>
    </row>
    <row r="81" spans="1:29">
      <c r="A81" s="143" t="s">
        <v>1120</v>
      </c>
      <c r="B81" s="143" t="s">
        <v>1522</v>
      </c>
      <c r="C81" s="143" t="s">
        <v>1101</v>
      </c>
      <c r="D81" s="143" t="s">
        <v>1546</v>
      </c>
      <c r="E81" s="143" t="s">
        <v>1509</v>
      </c>
      <c r="F81" s="143" t="s">
        <v>1512</v>
      </c>
      <c r="G81" s="143" t="s">
        <v>1522</v>
      </c>
      <c r="M81" s="143" t="s">
        <v>1523</v>
      </c>
      <c r="N81" s="143" t="s">
        <v>1335</v>
      </c>
      <c r="O81" s="139">
        <v>44085</v>
      </c>
      <c r="P81" s="139">
        <v>44144</v>
      </c>
      <c r="Q81" s="139">
        <v>44143</v>
      </c>
      <c r="R81" s="139">
        <v>44149</v>
      </c>
      <c r="S81" s="140">
        <v>46</v>
      </c>
      <c r="T81" s="140">
        <v>18</v>
      </c>
      <c r="U81" s="140">
        <v>1</v>
      </c>
      <c r="V81" s="141">
        <v>0</v>
      </c>
      <c r="W81" s="140">
        <v>0</v>
      </c>
      <c r="X81" s="142">
        <v>1</v>
      </c>
      <c r="Y81" s="142">
        <v>0</v>
      </c>
      <c r="Z81" s="142">
        <v>0</v>
      </c>
      <c r="AC81" s="141">
        <v>0</v>
      </c>
    </row>
    <row r="82" spans="1:29">
      <c r="A82" s="143" t="s">
        <v>1120</v>
      </c>
      <c r="B82" s="143" t="s">
        <v>1524</v>
      </c>
      <c r="C82" s="143" t="s">
        <v>1101</v>
      </c>
      <c r="D82" s="143" t="s">
        <v>1546</v>
      </c>
      <c r="E82" s="143" t="s">
        <v>1509</v>
      </c>
      <c r="F82" s="143" t="s">
        <v>1512</v>
      </c>
      <c r="G82" s="143" t="s">
        <v>1524</v>
      </c>
      <c r="M82" s="143" t="s">
        <v>1525</v>
      </c>
      <c r="N82" s="143" t="s">
        <v>1335</v>
      </c>
      <c r="O82" s="139">
        <v>44099</v>
      </c>
      <c r="P82" s="139">
        <v>44144</v>
      </c>
      <c r="Q82" s="139">
        <v>44094</v>
      </c>
      <c r="R82" s="139">
        <v>44100</v>
      </c>
      <c r="S82" s="140">
        <v>39</v>
      </c>
      <c r="T82" s="140">
        <v>11</v>
      </c>
      <c r="U82" s="140">
        <v>1</v>
      </c>
      <c r="V82" s="141">
        <v>0</v>
      </c>
      <c r="W82" s="140">
        <v>0</v>
      </c>
      <c r="X82" s="142">
        <v>1</v>
      </c>
      <c r="Y82" s="142">
        <v>0</v>
      </c>
      <c r="Z82" s="142">
        <v>0</v>
      </c>
      <c r="AC82" s="141">
        <v>0</v>
      </c>
    </row>
    <row r="83" spans="1:29">
      <c r="A83" s="143" t="s">
        <v>1120</v>
      </c>
      <c r="B83" s="143" t="s">
        <v>1524</v>
      </c>
      <c r="C83" s="143" t="s">
        <v>1101</v>
      </c>
      <c r="D83" s="143" t="s">
        <v>1546</v>
      </c>
      <c r="E83" s="143" t="s">
        <v>1509</v>
      </c>
      <c r="F83" s="143" t="s">
        <v>1512</v>
      </c>
      <c r="G83" s="143" t="s">
        <v>1524</v>
      </c>
      <c r="M83" s="143" t="s">
        <v>1525</v>
      </c>
      <c r="N83" s="143" t="s">
        <v>1335</v>
      </c>
      <c r="O83" s="139">
        <v>44099</v>
      </c>
      <c r="P83" s="139">
        <v>44144</v>
      </c>
      <c r="Q83" s="139">
        <v>44101</v>
      </c>
      <c r="R83" s="139">
        <v>44107</v>
      </c>
      <c r="S83" s="140">
        <v>40</v>
      </c>
      <c r="T83" s="140">
        <v>12</v>
      </c>
      <c r="U83" s="140">
        <v>2</v>
      </c>
      <c r="V83" s="141">
        <v>0</v>
      </c>
      <c r="W83" s="140">
        <v>0</v>
      </c>
      <c r="X83" s="142">
        <v>1</v>
      </c>
      <c r="Y83" s="142">
        <v>0</v>
      </c>
      <c r="Z83" s="142">
        <v>0</v>
      </c>
      <c r="AC83" s="141">
        <v>0</v>
      </c>
    </row>
    <row r="84" spans="1:29">
      <c r="A84" s="143" t="s">
        <v>1120</v>
      </c>
      <c r="B84" s="143" t="s">
        <v>1524</v>
      </c>
      <c r="C84" s="143" t="s">
        <v>1101</v>
      </c>
      <c r="D84" s="143" t="s">
        <v>1546</v>
      </c>
      <c r="E84" s="143" t="s">
        <v>1509</v>
      </c>
      <c r="F84" s="143" t="s">
        <v>1512</v>
      </c>
      <c r="G84" s="143" t="s">
        <v>1524</v>
      </c>
      <c r="M84" s="143" t="s">
        <v>1525</v>
      </c>
      <c r="N84" s="143" t="s">
        <v>1335</v>
      </c>
      <c r="O84" s="139">
        <v>44099</v>
      </c>
      <c r="P84" s="139">
        <v>44144</v>
      </c>
      <c r="Q84" s="139">
        <v>44108</v>
      </c>
      <c r="R84" s="139">
        <v>44114</v>
      </c>
      <c r="S84" s="140">
        <v>41</v>
      </c>
      <c r="T84" s="140">
        <v>13</v>
      </c>
      <c r="U84" s="140">
        <v>4</v>
      </c>
      <c r="V84" s="141">
        <v>0</v>
      </c>
      <c r="W84" s="140">
        <v>0</v>
      </c>
      <c r="X84" s="142">
        <v>1</v>
      </c>
      <c r="Y84" s="142">
        <v>0</v>
      </c>
      <c r="Z84" s="142">
        <v>0</v>
      </c>
      <c r="AC84" s="141">
        <v>0</v>
      </c>
    </row>
    <row r="85" spans="1:29">
      <c r="A85" s="143" t="s">
        <v>1120</v>
      </c>
      <c r="B85" s="143" t="s">
        <v>1524</v>
      </c>
      <c r="C85" s="143" t="s">
        <v>1101</v>
      </c>
      <c r="D85" s="143" t="s">
        <v>1546</v>
      </c>
      <c r="E85" s="143" t="s">
        <v>1509</v>
      </c>
      <c r="F85" s="143" t="s">
        <v>1512</v>
      </c>
      <c r="G85" s="143" t="s">
        <v>1524</v>
      </c>
      <c r="M85" s="143" t="s">
        <v>1525</v>
      </c>
      <c r="N85" s="143" t="s">
        <v>1335</v>
      </c>
      <c r="O85" s="139">
        <v>44099</v>
      </c>
      <c r="P85" s="139">
        <v>44144</v>
      </c>
      <c r="Q85" s="139">
        <v>44115</v>
      </c>
      <c r="R85" s="139">
        <v>44121</v>
      </c>
      <c r="S85" s="140">
        <v>42</v>
      </c>
      <c r="T85" s="140">
        <v>14</v>
      </c>
      <c r="U85" s="140">
        <v>5</v>
      </c>
      <c r="V85" s="141">
        <v>0</v>
      </c>
      <c r="W85" s="140">
        <v>0</v>
      </c>
      <c r="X85" s="142">
        <v>1</v>
      </c>
      <c r="Y85" s="142">
        <v>0</v>
      </c>
      <c r="Z85" s="142">
        <v>0</v>
      </c>
      <c r="AC85" s="141">
        <v>0</v>
      </c>
    </row>
    <row r="86" spans="1:29">
      <c r="A86" s="143" t="s">
        <v>1120</v>
      </c>
      <c r="B86" s="143" t="s">
        <v>1524</v>
      </c>
      <c r="C86" s="143" t="s">
        <v>1101</v>
      </c>
      <c r="D86" s="143" t="s">
        <v>1546</v>
      </c>
      <c r="E86" s="143" t="s">
        <v>1509</v>
      </c>
      <c r="F86" s="143" t="s">
        <v>1512</v>
      </c>
      <c r="G86" s="143" t="s">
        <v>1524</v>
      </c>
      <c r="M86" s="143" t="s">
        <v>1525</v>
      </c>
      <c r="N86" s="143" t="s">
        <v>1335</v>
      </c>
      <c r="O86" s="139">
        <v>44099</v>
      </c>
      <c r="P86" s="139">
        <v>44144</v>
      </c>
      <c r="Q86" s="139">
        <v>44122</v>
      </c>
      <c r="R86" s="139">
        <v>44128</v>
      </c>
      <c r="S86" s="140">
        <v>43</v>
      </c>
      <c r="T86" s="140">
        <v>15</v>
      </c>
      <c r="U86" s="140">
        <v>5</v>
      </c>
      <c r="V86" s="141">
        <v>0</v>
      </c>
      <c r="W86" s="140">
        <v>0</v>
      </c>
      <c r="X86" s="142">
        <v>1</v>
      </c>
      <c r="Y86" s="142">
        <v>0</v>
      </c>
      <c r="Z86" s="142">
        <v>0</v>
      </c>
      <c r="AC86" s="141">
        <v>0</v>
      </c>
    </row>
    <row r="87" spans="1:29">
      <c r="A87" s="143" t="s">
        <v>1120</v>
      </c>
      <c r="B87" s="143" t="s">
        <v>1524</v>
      </c>
      <c r="C87" s="143" t="s">
        <v>1101</v>
      </c>
      <c r="D87" s="143" t="s">
        <v>1546</v>
      </c>
      <c r="E87" s="143" t="s">
        <v>1509</v>
      </c>
      <c r="F87" s="143" t="s">
        <v>1512</v>
      </c>
      <c r="G87" s="143" t="s">
        <v>1524</v>
      </c>
      <c r="M87" s="143" t="s">
        <v>1525</v>
      </c>
      <c r="N87" s="143" t="s">
        <v>1335</v>
      </c>
      <c r="O87" s="139">
        <v>44099</v>
      </c>
      <c r="P87" s="139">
        <v>44144</v>
      </c>
      <c r="Q87" s="139">
        <v>44129</v>
      </c>
      <c r="R87" s="139">
        <v>44135</v>
      </c>
      <c r="S87" s="140">
        <v>44</v>
      </c>
      <c r="T87" s="140">
        <v>16</v>
      </c>
      <c r="U87" s="140">
        <v>5</v>
      </c>
      <c r="V87" s="141">
        <v>0</v>
      </c>
      <c r="W87" s="140">
        <v>0</v>
      </c>
      <c r="X87" s="142">
        <v>1</v>
      </c>
      <c r="Y87" s="142">
        <v>0</v>
      </c>
      <c r="Z87" s="142">
        <v>0</v>
      </c>
      <c r="AC87" s="141">
        <v>0</v>
      </c>
    </row>
    <row r="88" spans="1:29">
      <c r="A88" s="143" t="s">
        <v>1120</v>
      </c>
      <c r="B88" s="143" t="s">
        <v>1524</v>
      </c>
      <c r="C88" s="143" t="s">
        <v>1101</v>
      </c>
      <c r="D88" s="143" t="s">
        <v>1546</v>
      </c>
      <c r="E88" s="143" t="s">
        <v>1509</v>
      </c>
      <c r="F88" s="143" t="s">
        <v>1512</v>
      </c>
      <c r="G88" s="143" t="s">
        <v>1524</v>
      </c>
      <c r="M88" s="143" t="s">
        <v>1525</v>
      </c>
      <c r="N88" s="143" t="s">
        <v>1335</v>
      </c>
      <c r="O88" s="139">
        <v>44099</v>
      </c>
      <c r="P88" s="139">
        <v>44144</v>
      </c>
      <c r="Q88" s="139">
        <v>44136</v>
      </c>
      <c r="R88" s="139">
        <v>44142</v>
      </c>
      <c r="S88" s="140">
        <v>45</v>
      </c>
      <c r="T88" s="140">
        <v>17</v>
      </c>
      <c r="U88" s="140">
        <v>5</v>
      </c>
      <c r="V88" s="141">
        <v>0</v>
      </c>
      <c r="W88" s="140">
        <v>0</v>
      </c>
      <c r="X88" s="142">
        <v>1</v>
      </c>
      <c r="Y88" s="142">
        <v>0</v>
      </c>
      <c r="Z88" s="142">
        <v>0</v>
      </c>
      <c r="AC88" s="141">
        <v>0</v>
      </c>
    </row>
    <row r="89" spans="1:29">
      <c r="A89" s="143" t="s">
        <v>1120</v>
      </c>
      <c r="B89" s="143" t="s">
        <v>1524</v>
      </c>
      <c r="C89" s="143" t="s">
        <v>1101</v>
      </c>
      <c r="D89" s="143" t="s">
        <v>1546</v>
      </c>
      <c r="E89" s="143" t="s">
        <v>1509</v>
      </c>
      <c r="F89" s="143" t="s">
        <v>1512</v>
      </c>
      <c r="G89" s="143" t="s">
        <v>1524</v>
      </c>
      <c r="M89" s="143" t="s">
        <v>1525</v>
      </c>
      <c r="N89" s="143" t="s">
        <v>1335</v>
      </c>
      <c r="O89" s="139">
        <v>44099</v>
      </c>
      <c r="P89" s="139">
        <v>44144</v>
      </c>
      <c r="Q89" s="139">
        <v>44143</v>
      </c>
      <c r="R89" s="139">
        <v>44149</v>
      </c>
      <c r="S89" s="140">
        <v>46</v>
      </c>
      <c r="T89" s="140">
        <v>18</v>
      </c>
      <c r="U89" s="140">
        <v>1</v>
      </c>
      <c r="V89" s="141">
        <v>0</v>
      </c>
      <c r="W89" s="140">
        <v>0</v>
      </c>
      <c r="X89" s="142">
        <v>1</v>
      </c>
      <c r="Y89" s="142">
        <v>0</v>
      </c>
      <c r="Z89" s="142">
        <v>0</v>
      </c>
      <c r="AC89" s="141">
        <v>0</v>
      </c>
    </row>
    <row r="90" spans="1:29">
      <c r="A90" s="143" t="s">
        <v>1119</v>
      </c>
      <c r="B90" s="143" t="s">
        <v>1527</v>
      </c>
      <c r="C90" s="143" t="s">
        <v>1101</v>
      </c>
      <c r="D90" s="143" t="s">
        <v>1546</v>
      </c>
      <c r="E90" s="143" t="s">
        <v>1526</v>
      </c>
      <c r="F90" s="143" t="s">
        <v>1527</v>
      </c>
      <c r="M90" s="143" t="s">
        <v>1528</v>
      </c>
      <c r="N90" s="143" t="s">
        <v>1335</v>
      </c>
      <c r="O90" s="139">
        <v>44127</v>
      </c>
      <c r="P90" s="139">
        <v>44145</v>
      </c>
      <c r="Q90" s="139">
        <v>44122</v>
      </c>
      <c r="R90" s="139">
        <v>44128</v>
      </c>
      <c r="S90" s="140">
        <v>43</v>
      </c>
      <c r="T90" s="140">
        <v>15</v>
      </c>
      <c r="U90" s="140">
        <v>1</v>
      </c>
      <c r="V90" s="141">
        <v>0</v>
      </c>
      <c r="W90" s="140">
        <v>0</v>
      </c>
      <c r="X90" s="142">
        <v>1</v>
      </c>
      <c r="Y90" s="142">
        <v>0</v>
      </c>
      <c r="Z90" s="142">
        <v>0</v>
      </c>
      <c r="AC90" s="141">
        <v>0</v>
      </c>
    </row>
    <row r="91" spans="1:29">
      <c r="A91" s="143" t="s">
        <v>1119</v>
      </c>
      <c r="B91" s="143" t="s">
        <v>1527</v>
      </c>
      <c r="C91" s="143" t="s">
        <v>1101</v>
      </c>
      <c r="D91" s="143" t="s">
        <v>1546</v>
      </c>
      <c r="E91" s="143" t="s">
        <v>1526</v>
      </c>
      <c r="F91" s="143" t="s">
        <v>1527</v>
      </c>
      <c r="M91" s="143" t="s">
        <v>1528</v>
      </c>
      <c r="N91" s="143" t="s">
        <v>1335</v>
      </c>
      <c r="O91" s="139">
        <v>44127</v>
      </c>
      <c r="P91" s="139">
        <v>44145</v>
      </c>
      <c r="Q91" s="139">
        <v>44129</v>
      </c>
      <c r="R91" s="139">
        <v>44135</v>
      </c>
      <c r="S91" s="140">
        <v>44</v>
      </c>
      <c r="T91" s="140">
        <v>16</v>
      </c>
      <c r="U91" s="140">
        <v>5</v>
      </c>
      <c r="V91" s="141">
        <v>0</v>
      </c>
      <c r="W91" s="140">
        <v>0</v>
      </c>
      <c r="X91" s="142">
        <v>1</v>
      </c>
      <c r="Y91" s="142">
        <v>0</v>
      </c>
      <c r="Z91" s="142">
        <v>0</v>
      </c>
      <c r="AC91" s="141">
        <v>0</v>
      </c>
    </row>
    <row r="92" spans="1:29">
      <c r="A92" s="143" t="s">
        <v>1119</v>
      </c>
      <c r="B92" s="143" t="s">
        <v>1527</v>
      </c>
      <c r="C92" s="143" t="s">
        <v>1101</v>
      </c>
      <c r="D92" s="143" t="s">
        <v>1546</v>
      </c>
      <c r="E92" s="143" t="s">
        <v>1526</v>
      </c>
      <c r="F92" s="143" t="s">
        <v>1527</v>
      </c>
      <c r="M92" s="143" t="s">
        <v>1528</v>
      </c>
      <c r="N92" s="143" t="s">
        <v>1335</v>
      </c>
      <c r="O92" s="139">
        <v>44127</v>
      </c>
      <c r="P92" s="139">
        <v>44145</v>
      </c>
      <c r="Q92" s="139">
        <v>44136</v>
      </c>
      <c r="R92" s="139">
        <v>44142</v>
      </c>
      <c r="S92" s="140">
        <v>45</v>
      </c>
      <c r="T92" s="140">
        <v>17</v>
      </c>
      <c r="U92" s="140">
        <v>5</v>
      </c>
      <c r="V92" s="141">
        <v>0</v>
      </c>
      <c r="W92" s="140">
        <v>0</v>
      </c>
      <c r="X92" s="142">
        <v>1</v>
      </c>
      <c r="Y92" s="142">
        <v>0</v>
      </c>
      <c r="Z92" s="142">
        <v>0</v>
      </c>
      <c r="AC92" s="141">
        <v>0</v>
      </c>
    </row>
    <row r="93" spans="1:29">
      <c r="A93" s="143" t="s">
        <v>1119</v>
      </c>
      <c r="B93" s="143" t="s">
        <v>1527</v>
      </c>
      <c r="C93" s="143" t="s">
        <v>1101</v>
      </c>
      <c r="D93" s="143" t="s">
        <v>1546</v>
      </c>
      <c r="E93" s="143" t="s">
        <v>1526</v>
      </c>
      <c r="F93" s="143" t="s">
        <v>1527</v>
      </c>
      <c r="M93" s="143" t="s">
        <v>1528</v>
      </c>
      <c r="N93" s="143" t="s">
        <v>1335</v>
      </c>
      <c r="O93" s="139">
        <v>44127</v>
      </c>
      <c r="P93" s="139">
        <v>44145</v>
      </c>
      <c r="Q93" s="139">
        <v>44143</v>
      </c>
      <c r="R93" s="139">
        <v>44149</v>
      </c>
      <c r="S93" s="140">
        <v>46</v>
      </c>
      <c r="T93" s="140">
        <v>18</v>
      </c>
      <c r="U93" s="140">
        <v>2</v>
      </c>
      <c r="V93" s="141">
        <v>0</v>
      </c>
      <c r="W93" s="140">
        <v>0</v>
      </c>
      <c r="X93" s="142">
        <v>1</v>
      </c>
      <c r="Y93" s="142">
        <v>0</v>
      </c>
      <c r="Z93" s="142">
        <v>0</v>
      </c>
      <c r="AC93" s="141">
        <v>0</v>
      </c>
    </row>
    <row r="94" spans="1:29">
      <c r="A94" s="143" t="s">
        <v>1119</v>
      </c>
      <c r="B94" s="143" t="s">
        <v>1529</v>
      </c>
      <c r="C94" s="143" t="s">
        <v>1101</v>
      </c>
      <c r="D94" s="143" t="s">
        <v>1546</v>
      </c>
      <c r="E94" s="143" t="s">
        <v>1526</v>
      </c>
      <c r="F94" s="143" t="s">
        <v>1529</v>
      </c>
      <c r="M94" s="143" t="s">
        <v>1530</v>
      </c>
      <c r="N94" s="143" t="s">
        <v>1335</v>
      </c>
      <c r="O94" s="139">
        <v>44148</v>
      </c>
      <c r="P94" s="139">
        <v>44152</v>
      </c>
      <c r="Q94" s="139">
        <v>44143</v>
      </c>
      <c r="R94" s="139">
        <v>44149</v>
      </c>
      <c r="S94" s="140">
        <v>46</v>
      </c>
      <c r="T94" s="140">
        <v>18</v>
      </c>
      <c r="U94" s="140">
        <v>1</v>
      </c>
      <c r="V94" s="141">
        <v>0</v>
      </c>
      <c r="W94" s="140">
        <v>0</v>
      </c>
      <c r="X94" s="142">
        <v>1</v>
      </c>
      <c r="Y94" s="142">
        <v>0</v>
      </c>
      <c r="Z94" s="142">
        <v>0</v>
      </c>
      <c r="AC94" s="141">
        <v>0</v>
      </c>
    </row>
    <row r="95" spans="1:29">
      <c r="A95" s="143" t="s">
        <v>1119</v>
      </c>
      <c r="B95" s="143" t="s">
        <v>1529</v>
      </c>
      <c r="C95" s="143" t="s">
        <v>1101</v>
      </c>
      <c r="D95" s="143" t="s">
        <v>1546</v>
      </c>
      <c r="E95" s="143" t="s">
        <v>1526</v>
      </c>
      <c r="F95" s="143" t="s">
        <v>1529</v>
      </c>
      <c r="M95" s="143" t="s">
        <v>1530</v>
      </c>
      <c r="N95" s="143" t="s">
        <v>1335</v>
      </c>
      <c r="O95" s="139">
        <v>44148</v>
      </c>
      <c r="P95" s="139">
        <v>44152</v>
      </c>
      <c r="Q95" s="139">
        <v>44150</v>
      </c>
      <c r="R95" s="139">
        <v>44156</v>
      </c>
      <c r="S95" s="140">
        <v>47</v>
      </c>
      <c r="T95" s="140">
        <v>19</v>
      </c>
      <c r="U95" s="140">
        <v>2</v>
      </c>
      <c r="V95" s="141">
        <v>0</v>
      </c>
      <c r="W95" s="140">
        <v>0</v>
      </c>
      <c r="X95" s="142">
        <v>1</v>
      </c>
      <c r="Y95" s="142">
        <v>0</v>
      </c>
      <c r="Z95" s="142">
        <v>0</v>
      </c>
      <c r="AC95" s="141">
        <v>0</v>
      </c>
    </row>
    <row r="96" spans="1:29">
      <c r="A96" s="143" t="s">
        <v>1119</v>
      </c>
      <c r="B96" s="143" t="s">
        <v>1532</v>
      </c>
      <c r="C96" s="143" t="s">
        <v>1101</v>
      </c>
      <c r="D96" s="143" t="s">
        <v>1547</v>
      </c>
      <c r="E96" s="143" t="s">
        <v>1531</v>
      </c>
      <c r="F96" s="143" t="s">
        <v>1532</v>
      </c>
      <c r="M96" s="143" t="s">
        <v>1533</v>
      </c>
      <c r="N96" s="143" t="s">
        <v>1335</v>
      </c>
      <c r="O96" s="139">
        <v>44148</v>
      </c>
      <c r="P96" s="139">
        <v>44150</v>
      </c>
      <c r="Q96" s="139">
        <v>44143</v>
      </c>
      <c r="R96" s="139">
        <v>44149</v>
      </c>
      <c r="S96" s="140">
        <v>46</v>
      </c>
      <c r="T96" s="140">
        <v>18</v>
      </c>
      <c r="U96" s="140">
        <v>1</v>
      </c>
      <c r="V96" s="141">
        <v>0</v>
      </c>
      <c r="W96" s="140">
        <v>0</v>
      </c>
      <c r="X96" s="142">
        <v>1</v>
      </c>
      <c r="Y96" s="142">
        <v>0</v>
      </c>
      <c r="Z96" s="142">
        <v>0</v>
      </c>
      <c r="AC96" s="141">
        <v>0</v>
      </c>
    </row>
    <row r="97" spans="1:29">
      <c r="A97" s="143" t="s">
        <v>1119</v>
      </c>
      <c r="B97" s="143" t="s">
        <v>1532</v>
      </c>
      <c r="C97" s="143" t="s">
        <v>1101</v>
      </c>
      <c r="D97" s="143" t="s">
        <v>1547</v>
      </c>
      <c r="E97" s="143" t="s">
        <v>1531</v>
      </c>
      <c r="F97" s="143" t="s">
        <v>1532</v>
      </c>
      <c r="M97" s="143" t="s">
        <v>1533</v>
      </c>
      <c r="N97" s="143" t="s">
        <v>1335</v>
      </c>
      <c r="O97" s="139">
        <v>44148</v>
      </c>
      <c r="P97" s="139">
        <v>44150</v>
      </c>
      <c r="Q97" s="139">
        <v>44150</v>
      </c>
      <c r="R97" s="139">
        <v>44156</v>
      </c>
      <c r="S97" s="140">
        <v>47</v>
      </c>
      <c r="T97" s="140">
        <v>19</v>
      </c>
      <c r="U97" s="140">
        <v>0</v>
      </c>
      <c r="V97" s="141">
        <v>0</v>
      </c>
      <c r="W97" s="140">
        <v>0</v>
      </c>
      <c r="X97" s="142">
        <v>1</v>
      </c>
      <c r="Y97" s="142">
        <v>0</v>
      </c>
      <c r="Z97" s="142">
        <v>0</v>
      </c>
      <c r="AC97" s="141">
        <v>0</v>
      </c>
    </row>
    <row r="98" spans="1:29">
      <c r="A98" s="143" t="s">
        <v>1119</v>
      </c>
      <c r="B98" s="143" t="s">
        <v>1535</v>
      </c>
      <c r="C98" s="143" t="s">
        <v>1101</v>
      </c>
      <c r="D98" s="143" t="s">
        <v>1547</v>
      </c>
      <c r="E98" s="143" t="s">
        <v>1534</v>
      </c>
      <c r="F98" s="143" t="s">
        <v>1535</v>
      </c>
      <c r="M98" s="143" t="s">
        <v>1536</v>
      </c>
      <c r="N98" s="143" t="s">
        <v>1335</v>
      </c>
      <c r="O98" s="139">
        <v>44152</v>
      </c>
      <c r="P98" s="139">
        <v>44154</v>
      </c>
      <c r="Q98" s="139">
        <v>44150</v>
      </c>
      <c r="R98" s="139">
        <v>44156</v>
      </c>
      <c r="S98" s="140">
        <v>47</v>
      </c>
      <c r="T98" s="140">
        <v>19</v>
      </c>
      <c r="U98" s="140">
        <v>3</v>
      </c>
      <c r="V98" s="141">
        <v>0</v>
      </c>
      <c r="W98" s="140">
        <v>0</v>
      </c>
      <c r="X98" s="142">
        <v>1</v>
      </c>
      <c r="Y98" s="142">
        <v>0</v>
      </c>
      <c r="Z98" s="142">
        <v>0</v>
      </c>
      <c r="AC98" s="141">
        <v>0</v>
      </c>
    </row>
    <row r="99" spans="1:29">
      <c r="A99" s="143" t="s">
        <v>1119</v>
      </c>
      <c r="B99" s="143" t="s">
        <v>1537</v>
      </c>
      <c r="C99" s="143" t="s">
        <v>1101</v>
      </c>
      <c r="D99" s="143" t="s">
        <v>1547</v>
      </c>
      <c r="E99" s="143" t="s">
        <v>1534</v>
      </c>
      <c r="F99" s="143" t="s">
        <v>1537</v>
      </c>
      <c r="M99" s="143" t="s">
        <v>1538</v>
      </c>
      <c r="N99" s="143" t="s">
        <v>1335</v>
      </c>
      <c r="O99" s="139">
        <v>44152</v>
      </c>
      <c r="P99" s="139">
        <v>44154</v>
      </c>
      <c r="Q99" s="139">
        <v>44150</v>
      </c>
      <c r="R99" s="139">
        <v>44156</v>
      </c>
      <c r="S99" s="140">
        <v>47</v>
      </c>
      <c r="T99" s="140">
        <v>19</v>
      </c>
      <c r="U99" s="140">
        <v>3</v>
      </c>
      <c r="V99" s="141">
        <v>0</v>
      </c>
      <c r="W99" s="140">
        <v>0</v>
      </c>
      <c r="X99" s="142">
        <v>1</v>
      </c>
      <c r="Y99" s="142">
        <v>0</v>
      </c>
      <c r="Z99" s="142">
        <v>0</v>
      </c>
      <c r="AC99" s="141">
        <v>0</v>
      </c>
    </row>
    <row r="100" spans="1:29">
      <c r="A100" s="143" t="s">
        <v>1119</v>
      </c>
      <c r="B100" s="143" t="s">
        <v>1539</v>
      </c>
      <c r="C100" s="143" t="s">
        <v>1101</v>
      </c>
      <c r="D100" s="143" t="s">
        <v>1547</v>
      </c>
      <c r="E100" s="143" t="s">
        <v>1534</v>
      </c>
      <c r="F100" s="143" t="s">
        <v>1539</v>
      </c>
      <c r="M100" s="143" t="s">
        <v>1540</v>
      </c>
      <c r="N100" s="143" t="s">
        <v>1335</v>
      </c>
      <c r="O100" s="139">
        <v>44152</v>
      </c>
      <c r="P100" s="139">
        <v>44154</v>
      </c>
      <c r="Q100" s="139">
        <v>44150</v>
      </c>
      <c r="R100" s="139">
        <v>44156</v>
      </c>
      <c r="S100" s="140">
        <v>47</v>
      </c>
      <c r="T100" s="140">
        <v>19</v>
      </c>
      <c r="U100" s="140">
        <v>3</v>
      </c>
      <c r="V100" s="141">
        <v>0</v>
      </c>
      <c r="W100" s="140">
        <v>0</v>
      </c>
      <c r="X100" s="142">
        <v>1</v>
      </c>
      <c r="Y100" s="142">
        <v>0</v>
      </c>
      <c r="Z100" s="142">
        <v>0</v>
      </c>
      <c r="AC100" s="141">
        <v>0</v>
      </c>
    </row>
    <row r="101" spans="1:29">
      <c r="A101" s="143" t="s">
        <v>1119</v>
      </c>
      <c r="B101" s="143" t="s">
        <v>1541</v>
      </c>
      <c r="C101" s="143" t="s">
        <v>1101</v>
      </c>
      <c r="D101" s="143" t="s">
        <v>1547</v>
      </c>
      <c r="E101" s="143" t="s">
        <v>1534</v>
      </c>
      <c r="F101" s="143" t="s">
        <v>1541</v>
      </c>
      <c r="M101" s="143" t="s">
        <v>1542</v>
      </c>
      <c r="N101" s="143" t="s">
        <v>1335</v>
      </c>
      <c r="O101" s="139">
        <v>44155</v>
      </c>
      <c r="P101" s="139">
        <v>44155</v>
      </c>
      <c r="Q101" s="139">
        <v>44150</v>
      </c>
      <c r="R101" s="139">
        <v>44156</v>
      </c>
      <c r="S101" s="140">
        <v>47</v>
      </c>
      <c r="T101" s="140">
        <v>19</v>
      </c>
      <c r="U101" s="140">
        <v>0</v>
      </c>
      <c r="V101" s="141">
        <v>0</v>
      </c>
      <c r="W101" s="140">
        <v>0</v>
      </c>
      <c r="X101" s="142">
        <v>0</v>
      </c>
      <c r="Y101" s="142">
        <v>0</v>
      </c>
      <c r="Z101" s="142">
        <v>0</v>
      </c>
      <c r="AC101" s="141">
        <v>0</v>
      </c>
    </row>
  </sheetData>
  <phoneticPr fontId="2"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Y17"/>
  <sheetViews>
    <sheetView zoomScale="85" zoomScaleNormal="85" workbookViewId="0">
      <selection activeCell="K23" sqref="K23"/>
    </sheetView>
  </sheetViews>
  <sheetFormatPr defaultRowHeight="17.399999999999999"/>
  <cols>
    <col min="1" max="1" width="16"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83" bestFit="1" customWidth="1"/>
    <col min="11" max="11" width="24.8984375" style="83" bestFit="1" customWidth="1"/>
    <col min="12" max="12" width="9.09765625" bestFit="1" customWidth="1"/>
    <col min="14" max="14" width="11" bestFit="1" customWidth="1"/>
    <col min="15" max="15" width="7.09765625" bestFit="1" customWidth="1"/>
    <col min="17" max="18" width="11" bestFit="1" customWidth="1"/>
    <col min="19" max="19" width="13" bestFit="1" customWidth="1"/>
    <col min="20" max="20" width="11" bestFit="1" customWidth="1"/>
    <col min="21" max="21" width="7.09765625" bestFit="1" customWidth="1"/>
    <col min="22" max="22" width="13.5" bestFit="1" customWidth="1"/>
    <col min="23" max="23" width="7.09765625" bestFit="1" customWidth="1"/>
    <col min="24" max="25" width="11" bestFit="1" customWidth="1"/>
  </cols>
  <sheetData>
    <row r="1" spans="1:25">
      <c r="A1" s="103" t="s">
        <v>988</v>
      </c>
      <c r="B1" s="103" t="s">
        <v>991</v>
      </c>
      <c r="C1" s="103" t="s">
        <v>989</v>
      </c>
      <c r="D1" s="103" t="s">
        <v>1426</v>
      </c>
      <c r="E1" s="103" t="s">
        <v>987</v>
      </c>
      <c r="F1" s="103" t="s">
        <v>345</v>
      </c>
      <c r="G1" s="103" t="s">
        <v>1402</v>
      </c>
      <c r="H1" s="103" t="s">
        <v>539</v>
      </c>
      <c r="I1" s="152" t="s">
        <v>570</v>
      </c>
      <c r="J1" s="152" t="s">
        <v>571</v>
      </c>
      <c r="K1" s="152" t="s">
        <v>1427</v>
      </c>
      <c r="L1" s="103" t="s">
        <v>126</v>
      </c>
      <c r="M1" s="103" t="s">
        <v>580</v>
      </c>
      <c r="N1" s="103" t="s">
        <v>581</v>
      </c>
      <c r="O1" s="103" t="s">
        <v>582</v>
      </c>
      <c r="P1" s="103" t="s">
        <v>583</v>
      </c>
      <c r="Q1" s="103" t="s">
        <v>584</v>
      </c>
      <c r="R1" s="103" t="s">
        <v>585</v>
      </c>
      <c r="S1" s="103" t="s">
        <v>586</v>
      </c>
      <c r="T1" s="103" t="s">
        <v>587</v>
      </c>
      <c r="U1" s="103" t="s">
        <v>540</v>
      </c>
      <c r="V1" s="103" t="s">
        <v>1401</v>
      </c>
      <c r="W1" s="103" t="s">
        <v>541</v>
      </c>
      <c r="X1" s="103" t="s">
        <v>785</v>
      </c>
      <c r="Y1" s="103" t="s">
        <v>612</v>
      </c>
    </row>
    <row r="2" spans="1:25">
      <c r="B2" t="s">
        <v>1404</v>
      </c>
      <c r="C2" t="s">
        <v>1147</v>
      </c>
      <c r="D2" t="s">
        <v>1037</v>
      </c>
      <c r="E2">
        <v>1</v>
      </c>
      <c r="F2" t="s">
        <v>1037</v>
      </c>
      <c r="G2" t="s">
        <v>1405</v>
      </c>
      <c r="I2" s="83">
        <v>43724</v>
      </c>
      <c r="J2" s="83">
        <v>43791</v>
      </c>
      <c r="X2">
        <v>0</v>
      </c>
      <c r="Y2">
        <v>0</v>
      </c>
    </row>
    <row r="3" spans="1:25">
      <c r="B3" s="83">
        <v>43709</v>
      </c>
      <c r="C3" t="s">
        <v>1148</v>
      </c>
      <c r="D3" t="s">
        <v>1101</v>
      </c>
      <c r="E3">
        <v>2</v>
      </c>
      <c r="F3" t="s">
        <v>1111</v>
      </c>
      <c r="G3" t="s">
        <v>663</v>
      </c>
      <c r="I3" s="83">
        <v>43724</v>
      </c>
      <c r="J3" s="83">
        <v>43728</v>
      </c>
      <c r="X3">
        <v>0</v>
      </c>
      <c r="Y3">
        <v>0</v>
      </c>
    </row>
    <row r="4" spans="1:25">
      <c r="B4" s="83">
        <v>43799</v>
      </c>
      <c r="C4" t="s">
        <v>1149</v>
      </c>
      <c r="D4" t="s">
        <v>1118</v>
      </c>
      <c r="E4">
        <v>3</v>
      </c>
      <c r="F4" t="s">
        <v>1112</v>
      </c>
      <c r="G4" t="s">
        <v>1406</v>
      </c>
      <c r="I4" s="83">
        <v>43724</v>
      </c>
      <c r="J4" s="83">
        <v>43727</v>
      </c>
      <c r="V4" t="s">
        <v>1407</v>
      </c>
      <c r="X4" s="84">
        <v>1</v>
      </c>
      <c r="Y4" s="84">
        <v>1</v>
      </c>
    </row>
    <row r="5" spans="1:25">
      <c r="B5" s="84">
        <v>0.45</v>
      </c>
      <c r="C5" t="s">
        <v>1150</v>
      </c>
      <c r="D5" t="s">
        <v>1119</v>
      </c>
      <c r="E5">
        <v>3</v>
      </c>
      <c r="F5" t="s">
        <v>1113</v>
      </c>
      <c r="G5" t="s">
        <v>1408</v>
      </c>
      <c r="I5" s="83">
        <v>43728</v>
      </c>
      <c r="J5" s="83">
        <v>43728</v>
      </c>
      <c r="K5" s="83" t="s">
        <v>1428</v>
      </c>
      <c r="Q5" s="83"/>
      <c r="X5" s="84">
        <v>1</v>
      </c>
      <c r="Y5" s="84">
        <v>1</v>
      </c>
    </row>
    <row r="6" spans="1:25">
      <c r="B6" s="102">
        <v>0.43330000000000002</v>
      </c>
      <c r="C6" t="s">
        <v>1151</v>
      </c>
      <c r="D6" t="s">
        <v>1120</v>
      </c>
      <c r="E6">
        <v>3</v>
      </c>
      <c r="F6" t="s">
        <v>1134</v>
      </c>
      <c r="G6" t="s">
        <v>1132</v>
      </c>
      <c r="I6" s="83">
        <v>43724</v>
      </c>
      <c r="J6" s="83">
        <v>43726</v>
      </c>
      <c r="V6" t="s">
        <v>1409</v>
      </c>
      <c r="X6">
        <v>0</v>
      </c>
      <c r="Y6">
        <v>0</v>
      </c>
    </row>
    <row r="7" spans="1:25">
      <c r="C7" t="s">
        <v>1152</v>
      </c>
      <c r="D7" t="s">
        <v>1121</v>
      </c>
      <c r="E7">
        <v>3</v>
      </c>
      <c r="F7" t="s">
        <v>1135</v>
      </c>
      <c r="G7" t="s">
        <v>1133</v>
      </c>
      <c r="I7" s="83">
        <v>43727</v>
      </c>
      <c r="J7" s="83">
        <v>43728</v>
      </c>
      <c r="V7" t="s">
        <v>1409</v>
      </c>
      <c r="X7">
        <v>0</v>
      </c>
      <c r="Y7">
        <v>0</v>
      </c>
    </row>
    <row r="8" spans="1:25">
      <c r="C8" t="s">
        <v>1153</v>
      </c>
      <c r="D8" t="s">
        <v>1122</v>
      </c>
      <c r="E8">
        <v>2</v>
      </c>
      <c r="F8" t="s">
        <v>1114</v>
      </c>
      <c r="G8" t="s">
        <v>1410</v>
      </c>
      <c r="I8" s="83">
        <v>43731</v>
      </c>
      <c r="J8" s="83">
        <v>43749</v>
      </c>
      <c r="X8">
        <v>0</v>
      </c>
      <c r="Y8">
        <v>0</v>
      </c>
    </row>
    <row r="9" spans="1:25">
      <c r="C9" t="s">
        <v>1154</v>
      </c>
      <c r="D9" t="s">
        <v>1123</v>
      </c>
      <c r="E9">
        <v>3</v>
      </c>
      <c r="F9" t="s">
        <v>1115</v>
      </c>
      <c r="G9" t="s">
        <v>1411</v>
      </c>
      <c r="I9" s="83">
        <v>43731</v>
      </c>
      <c r="J9" s="83">
        <v>43735</v>
      </c>
      <c r="V9" t="s">
        <v>1412</v>
      </c>
      <c r="X9">
        <v>0</v>
      </c>
      <c r="Y9">
        <v>0</v>
      </c>
    </row>
    <row r="10" spans="1:25">
      <c r="C10" t="s">
        <v>1155</v>
      </c>
      <c r="D10" t="s">
        <v>1124</v>
      </c>
      <c r="E10">
        <v>3</v>
      </c>
      <c r="F10" t="s">
        <v>1136</v>
      </c>
      <c r="G10" t="s">
        <v>1413</v>
      </c>
      <c r="I10" s="83">
        <v>43738</v>
      </c>
      <c r="J10" s="83">
        <v>43749</v>
      </c>
      <c r="V10" t="s">
        <v>1412</v>
      </c>
      <c r="X10">
        <v>0</v>
      </c>
      <c r="Y10">
        <v>0</v>
      </c>
    </row>
    <row r="11" spans="1:25">
      <c r="D11" t="s">
        <v>1125</v>
      </c>
      <c r="E11">
        <v>2</v>
      </c>
      <c r="F11" t="s">
        <v>1116</v>
      </c>
      <c r="G11" t="s">
        <v>1414</v>
      </c>
      <c r="I11" s="83">
        <v>43752</v>
      </c>
      <c r="J11" s="83">
        <v>43777</v>
      </c>
      <c r="X11">
        <v>0</v>
      </c>
      <c r="Y11">
        <v>0</v>
      </c>
    </row>
    <row r="12" spans="1:25">
      <c r="D12" t="s">
        <v>1126</v>
      </c>
      <c r="E12">
        <v>3</v>
      </c>
      <c r="F12" t="s">
        <v>1117</v>
      </c>
      <c r="G12" t="s">
        <v>1415</v>
      </c>
      <c r="I12" s="83">
        <v>43752</v>
      </c>
      <c r="J12" s="83">
        <v>43770</v>
      </c>
      <c r="X12">
        <v>0</v>
      </c>
      <c r="Y12">
        <v>0</v>
      </c>
    </row>
    <row r="13" spans="1:25">
      <c r="D13" t="s">
        <v>1127</v>
      </c>
      <c r="E13">
        <v>3</v>
      </c>
      <c r="F13" t="s">
        <v>1137</v>
      </c>
      <c r="G13" t="s">
        <v>1416</v>
      </c>
      <c r="I13" s="83">
        <v>43773</v>
      </c>
      <c r="J13" s="83">
        <v>43777</v>
      </c>
      <c r="V13" t="s">
        <v>1417</v>
      </c>
      <c r="X13">
        <v>0</v>
      </c>
      <c r="Y13">
        <v>0</v>
      </c>
    </row>
    <row r="14" spans="1:25">
      <c r="D14" t="s">
        <v>1128</v>
      </c>
      <c r="E14">
        <v>2</v>
      </c>
      <c r="F14" t="s">
        <v>1138</v>
      </c>
      <c r="G14" t="s">
        <v>1418</v>
      </c>
      <c r="I14" s="83">
        <v>43780</v>
      </c>
      <c r="J14" s="83">
        <v>43791</v>
      </c>
      <c r="X14">
        <v>0</v>
      </c>
      <c r="Y14">
        <v>0</v>
      </c>
    </row>
    <row r="15" spans="1:25">
      <c r="D15" t="s">
        <v>1129</v>
      </c>
      <c r="E15">
        <v>3</v>
      </c>
      <c r="F15" t="s">
        <v>1139</v>
      </c>
      <c r="G15" t="s">
        <v>1419</v>
      </c>
      <c r="I15" s="83">
        <v>43780</v>
      </c>
      <c r="J15" s="83">
        <v>43784</v>
      </c>
      <c r="V15" t="s">
        <v>1420</v>
      </c>
      <c r="X15">
        <v>0</v>
      </c>
      <c r="Y15">
        <v>0</v>
      </c>
    </row>
    <row r="16" spans="1:25">
      <c r="D16" t="s">
        <v>1130</v>
      </c>
      <c r="E16">
        <v>3</v>
      </c>
      <c r="F16" t="s">
        <v>1140</v>
      </c>
      <c r="G16" t="s">
        <v>1421</v>
      </c>
      <c r="I16" s="83">
        <v>43787</v>
      </c>
      <c r="J16" s="83">
        <v>43789</v>
      </c>
      <c r="K16" s="83" t="s">
        <v>1429</v>
      </c>
      <c r="V16" t="s">
        <v>1422</v>
      </c>
      <c r="X16">
        <v>0</v>
      </c>
      <c r="Y16">
        <v>0</v>
      </c>
    </row>
    <row r="17" spans="4:25">
      <c r="D17" t="s">
        <v>1131</v>
      </c>
      <c r="E17">
        <v>3</v>
      </c>
      <c r="F17" t="s">
        <v>1141</v>
      </c>
      <c r="G17" t="s">
        <v>1423</v>
      </c>
      <c r="I17" s="83">
        <v>43790</v>
      </c>
      <c r="J17" s="83">
        <v>43791</v>
      </c>
      <c r="V17" t="s">
        <v>1424</v>
      </c>
      <c r="X17">
        <v>0</v>
      </c>
      <c r="Y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9</vt:i4>
      </vt:variant>
      <vt:variant>
        <vt:lpstr>이름 지정된 범위</vt:lpstr>
      </vt:variant>
      <vt:variant>
        <vt:i4>34</vt:i4>
      </vt:variant>
    </vt:vector>
  </HeadingPairs>
  <TitlesOfParts>
    <vt:vector size="43" baseType="lpstr">
      <vt:lpstr>Help</vt:lpstr>
      <vt:lpstr>Schedule</vt:lpstr>
      <vt:lpstr>Progress</vt:lpstr>
      <vt:lpstr>Sheet1</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rhsnf</cp:lastModifiedBy>
  <cp:lastPrinted>2019-08-24T08:53:04Z</cp:lastPrinted>
  <dcterms:created xsi:type="dcterms:W3CDTF">2018-02-18T09:45:14Z</dcterms:created>
  <dcterms:modified xsi:type="dcterms:W3CDTF">2020-11-09T06:44:25Z</dcterms:modified>
</cp:coreProperties>
</file>